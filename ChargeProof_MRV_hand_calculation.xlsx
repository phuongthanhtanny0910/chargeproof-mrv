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Sessions" sheetId="3" state="visible" r:id="rId5"/>
    <sheet name="Intervals" sheetId="4" state="visible" r:id="rId6"/>
    <sheet name="Results" sheetId="5" state="visible" r:id="rId7"/>
    <sheet name="Check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<sst xmlns="http://schemas.openxmlformats.org/spreadsheetml/2006/main" count="140" uniqueCount="132">
  <si>
    <t xml:space="preserve">ChargeProof MRV – hand calculation (5 sessions, one night)</t>
  </si>
  <si>
    <t xml:space="preserve">Purpose: reference calculation for Methodology v1.0. The Python engine must reproduce the numbers on the 'Results' sheet exactly.</t>
  </si>
  <si>
    <t xml:space="preserve">All data in this file is ILLUSTRATIVE (synthetic depot, synthetic prices and emission factors). Replace with real data before any external use.</t>
  </si>
  <si>
    <t xml:space="preserve">Legend</t>
  </si>
  <si>
    <t xml:space="preserve">Blue text = input you can change (measured data or schedule)</t>
  </si>
  <si>
    <t xml:space="preserve">Black text = formula – do not overwrite</t>
  </si>
  <si>
    <t xml:space="preserve">Green text = link to another sheet</t>
  </si>
  <si>
    <t xml:space="preserve">Yellow fill = key assumption / placeholder to replace with a sourced value</t>
  </si>
  <si>
    <t xml:space="preserve">Sheets</t>
  </si>
  <si>
    <t xml:space="preserve">Inputs – interval length, tariff, demand charge, annual emission factor, connection limit</t>
  </si>
  <si>
    <t xml:space="preserve">Sessions – 5 charging sessions; baseline power (rule 4), baseline duration, feasibility (rule 5), actual managed schedule</t>
  </si>
  <si>
    <t xml:space="preserve">Intervals – 64 × 15-minute intervals (16:00–08:00): actual and baseline energy per session, site load, shift</t>
  </si>
  <si>
    <t xml:space="preserve">Results – K1 energy, K2 peak, K3 cost, K4 emissions, baseline vs actual</t>
  </si>
  <si>
    <t xml:space="preserve">Checks – reconciliation and plausibility checks; all should show OK</t>
  </si>
  <si>
    <t xml:space="preserve">Methodology references: section 3 (baseline rules), 4.2–4.7 (formulas), 6 (data quality and conservative rules).</t>
  </si>
  <si>
    <t xml:space="preserve">Demonstrated: rule 4 (Van-04 uses observed 16 kW, not 22 kW nameplate), rule 5 (Van-05 baseline infeasible → actual profile used, no saving claimed).</t>
  </si>
  <si>
    <t xml:space="preserve">Inputs and assumptions</t>
  </si>
  <si>
    <t xml:space="preserve">Parameter</t>
  </si>
  <si>
    <t xml:space="preserve">Value</t>
  </si>
  <si>
    <t xml:space="preserve">Unit</t>
  </si>
  <si>
    <t xml:space="preserve">Source / note</t>
  </si>
  <si>
    <t xml:space="preserve">Interval length Δt</t>
  </si>
  <si>
    <t xml:space="preserve">h</t>
  </si>
  <si>
    <t xml:space="preserve">Methodology §4: 15-minute intervals</t>
  </si>
  <si>
    <t xml:space="preserve">Demand charge λ (Leistungspreis)</t>
  </si>
  <si>
    <t xml:space="preserve">€/kW per year</t>
  </si>
  <si>
    <t xml:space="preserve">ILLUSTRATIVE placeholder – replace with the customer’s grid fee sheet</t>
  </si>
  <si>
    <t xml:space="preserve">Reporting period length m</t>
  </si>
  <si>
    <t xml:space="preserve">months</t>
  </si>
  <si>
    <t xml:space="preserve">Illustrative: one night evaluated as if it were the month’s peak</t>
  </si>
  <si>
    <t xml:space="preserve">Annual emission factor F</t>
  </si>
  <si>
    <t xml:space="preserve">kg CO2e/kWh</t>
  </si>
  <si>
    <t xml:space="preserve">ILLUSTRATIVE placeholder – replace with latest published UBA German electricity mix factor</t>
  </si>
  <si>
    <t xml:space="preserve">Grid connection limit</t>
  </si>
  <si>
    <t xml:space="preserve">kW</t>
  </si>
  <si>
    <t xml:space="preserve">Illustrative depot connection; information only</t>
  </si>
  <si>
    <t xml:space="preserve">Tiny tolerance for time comparisons</t>
  </si>
  <si>
    <t xml:space="preserve">days</t>
  </si>
  <si>
    <t xml:space="preserve">Avoids floating-point issues when end time equals plug-out time</t>
  </si>
  <si>
    <t xml:space="preserve">Charging sessions (illustrative)</t>
  </si>
  <si>
    <t xml:space="preserve">Session</t>
  </si>
  <si>
    <t xml:space="preserve">Vehicle</t>
  </si>
  <si>
    <t xml:space="preserve">Plug-in</t>
  </si>
  <si>
    <t xml:space="preserve">Plug-out</t>
  </si>
  <si>
    <t xml:space="preserve">Energy delivered E_i (kWh)</t>
  </si>
  <si>
    <t xml:space="preserve">Charger rating (kW)</t>
  </si>
  <si>
    <t xml:space="preserve">Vehicle limit (kW)</t>
  </si>
  <si>
    <t xml:space="preserve">Observed max in period (kW)</t>
  </si>
  <si>
    <t xml:space="preserve">Baseline power P_i (kW) – rule 4</t>
  </si>
  <si>
    <t xml:space="preserve">Baseline duration τ_i (h)</t>
  </si>
  <si>
    <t xml:space="preserve">Baseline end</t>
  </si>
  <si>
    <t xml:space="preserve">Baseline feasible? (rule 5)</t>
  </si>
  <si>
    <t xml:space="preserve">Actual start (managed)</t>
  </si>
  <si>
    <t xml:space="preserve">Actual power (kW)</t>
  </si>
  <si>
    <t xml:space="preserve">Actual end</t>
  </si>
  <si>
    <t xml:space="preserve">Actual within plug window?</t>
  </si>
  <si>
    <t xml:space="preserve">Note</t>
  </si>
  <si>
    <t xml:space="preserve">S1</t>
  </si>
  <si>
    <t xml:space="preserve">Van-01</t>
  </si>
  <si>
    <t xml:space="preserve">Typical night session</t>
  </si>
  <si>
    <t xml:space="preserve">S2</t>
  </si>
  <si>
    <t xml:space="preserve">Van-02</t>
  </si>
  <si>
    <t xml:space="preserve">S3</t>
  </si>
  <si>
    <t xml:space="preserve">Van-03</t>
  </si>
  <si>
    <t xml:space="preserve">Vehicle limit 7.4 kW sets baseline power</t>
  </si>
  <si>
    <t xml:space="preserve">S4</t>
  </si>
  <si>
    <t xml:space="preserve">Van-04</t>
  </si>
  <si>
    <t xml:space="preserve">Rule 4: observed max 16 kW used instead of 22 kW nameplate</t>
  </si>
  <si>
    <t xml:space="preserve">S5</t>
  </si>
  <si>
    <t xml:space="preserve">Van-05</t>
  </si>
  <si>
    <t xml:space="preserve">Rule 5: data-sheet limit 4.6 kW makes baseline infeasible → actual profile used</t>
  </si>
  <si>
    <t xml:space="preserve">15-minute intervals, 12.10.2026 16:00 – 13.10.2026 08:00 (illustrative)</t>
  </si>
  <si>
    <t xml:space="preserve">k</t>
  </si>
  <si>
    <t xml:space="preserve">Start</t>
  </si>
  <si>
    <t xml:space="preserve">End</t>
  </si>
  <si>
    <t xml:space="preserve">Price π_k (€/kWh)</t>
  </si>
  <si>
    <t xml:space="preserve">Hourly factor f_k (kg/kWh)</t>
  </si>
  <si>
    <t xml:space="preserve">Grid meter M_k (kWh)</t>
  </si>
  <si>
    <t xml:space="preserve">Actual S1 (kWh)</t>
  </si>
  <si>
    <t xml:space="preserve">Actual S2 (kWh)</t>
  </si>
  <si>
    <t xml:space="preserve">Actual S3 (kWh)</t>
  </si>
  <si>
    <t xml:space="preserve">Actual S4 (kWh)</t>
  </si>
  <si>
    <t xml:space="preserve">Actual S5 (kWh)</t>
  </si>
  <si>
    <t xml:space="preserve">Baseline S1 (kWh)</t>
  </si>
  <si>
    <t xml:space="preserve">Baseline S2 (kWh)</t>
  </si>
  <si>
    <t xml:space="preserve">Baseline S3 (kWh)</t>
  </si>
  <si>
    <t xml:space="preserve">Baseline S4 (kWh)</t>
  </si>
  <si>
    <t xml:space="preserve">Baseline S5 (kWh)</t>
  </si>
  <si>
    <t xml:space="preserve">EV actual (kWh)</t>
  </si>
  <si>
    <t xml:space="preserve">EV baseline (kWh)</t>
  </si>
  <si>
    <t xml:space="preserve">Other load O_k (kWh)</t>
  </si>
  <si>
    <t xml:space="preserve">Site power actual S^A (kW)</t>
  </si>
  <si>
    <t xml:space="preserve">Site power baseline S^B (kW)</t>
  </si>
  <si>
    <t xml:space="preserve">Energy shifted (kWh)</t>
  </si>
  <si>
    <t xml:space="preserve">Total</t>
  </si>
  <si>
    <t xml:space="preserve">Prices, hourly factors and grid meter values are ILLUSTRATIVE. Grid meter M_k = synthetic base load (6/4/3/5 kW by time of day) + actual EV energy.</t>
  </si>
  <si>
    <t xml:space="preserve">Results – baseline vs actual (illustrative)</t>
  </si>
  <si>
    <t xml:space="preserve">KPI</t>
  </si>
  <si>
    <t xml:space="preserve">Baseline (B)</t>
  </si>
  <si>
    <t xml:space="preserve">Actual (A)</t>
  </si>
  <si>
    <t xml:space="preserve">Difference (B − A)</t>
  </si>
  <si>
    <t xml:space="preserve">Formula reference</t>
  </si>
  <si>
    <t xml:space="preserve">K1 Energy delivered</t>
  </si>
  <si>
    <t xml:space="preserve">kWh</t>
  </si>
  <si>
    <t xml:space="preserve">§4.4 – identical by construction; no energy saving claimed</t>
  </si>
  <si>
    <t xml:space="preserve">K1 Energy shifted</t>
  </si>
  <si>
    <t xml:space="preserve">§4.4 – Σ max(0, EV_B − EV_A)</t>
  </si>
  <si>
    <t xml:space="preserve">K2 Peak site demand</t>
  </si>
  <si>
    <t xml:space="preserve">§4.5</t>
  </si>
  <si>
    <t xml:space="preserve">K3 Energy cost</t>
  </si>
  <si>
    <t xml:space="preserve">€</t>
  </si>
  <si>
    <t xml:space="preserve">§4.6 – EV energy only; time-varying illustrative prices</t>
  </si>
  <si>
    <t xml:space="preserve">K3 Demand cost (pro-rated)</t>
  </si>
  <si>
    <t xml:space="preserve">§4.6 – λ × P × m/12 (rule 7)</t>
  </si>
  <si>
    <t xml:space="preserve">K3 Total cost</t>
  </si>
  <si>
    <t xml:space="preserve">§4.6</t>
  </si>
  <si>
    <t xml:space="preserve">K4 Emissions – official (annual factor)</t>
  </si>
  <si>
    <t xml:space="preserve">kg CO2e</t>
  </si>
  <si>
    <t xml:space="preserve">§4.7 – Scope 2 location-based; zero difference by design (rule 8)</t>
  </si>
  <si>
    <t xml:space="preserve">K4 Emissions – hourly (supplementary)</t>
  </si>
  <si>
    <t xml:space="preserve">§4.7 – shift effect, reported separately, never a Scope 2 reduction</t>
  </si>
  <si>
    <t xml:space="preserve">Peak above connection limit?</t>
  </si>
  <si>
    <t xml:space="preserve">Reading the results: the depot delivers the same energy in both cases (K1). Managed charging lowers the site peak (K2), which lowers the demand charge, and moves energy to cheaper night hours (K3). Official emissions are unchanged (K4, rule 8); the hourly shift effect is shown only as a supplementary indicator.</t>
  </si>
  <si>
    <t xml:space="preserve">Checks (methodology §6.1)</t>
  </si>
  <si>
    <t xml:space="preserve">E_i (kWh)</t>
  </si>
  <si>
    <t xml:space="preserve">Σ actual in intervals</t>
  </si>
  <si>
    <t xml:space="preserve">Σ baseline in intervals</t>
  </si>
  <si>
    <t xml:space="preserve">Actual reconciles?</t>
  </si>
  <si>
    <t xml:space="preserve">Baseline reconciles?</t>
  </si>
  <si>
    <t xml:space="preserve">Baseline feasible?</t>
  </si>
  <si>
    <t xml:space="preserve">Grid meter ≥ EV actual in every interval</t>
  </si>
  <si>
    <t xml:space="preserve">Intervals present (expect 64)</t>
  </si>
</sst>
</file>

<file path=xl/styles.xml><?xml version="1.0" encoding="utf-8"?>
<styleSheet xmlns="http://schemas.openxmlformats.org/spreadsheetml/2006/main">
  <numFmts count="5">
    <numFmt numFmtId="164" formatCode="General"/>
    <numFmt numFmtId="165" formatCode="dd\.mm\.yyyy\ hh:mm"/>
    <numFmt numFmtId="166" formatCode="0.00"/>
    <numFmt numFmtId="167" formatCode="0.000"/>
    <numFmt numFmtId="168" formatCode="#,##0.0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color rgb="FFC00000"/>
      <name val="Arial"/>
      <family val="0"/>
      <charset val="1"/>
    </font>
    <font>
      <b val="true"/>
      <sz val="11"/>
      <name val="Arial"/>
      <family val="0"/>
      <charset val="1"/>
    </font>
    <font>
      <sz val="11"/>
      <color rgb="FF0000FF"/>
      <name val="Arial"/>
      <family val="0"/>
      <charset val="1"/>
    </font>
    <font>
      <sz val="11"/>
      <color rgb="FF008000"/>
      <name val="Arial"/>
      <family val="0"/>
      <charset val="1"/>
    </font>
    <font>
      <sz val="11"/>
      <color theme="1"/>
      <name val="Arial"/>
      <family val="0"/>
      <charset val="1"/>
    </font>
    <font>
      <b val="true"/>
      <sz val="11"/>
      <color rgb="FFFFFFFF"/>
      <name val="Arial"/>
      <family val="0"/>
      <charset val="1"/>
    </font>
    <font>
      <i val="true"/>
      <sz val="11"/>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0F1E2E"/>
        <bgColor rgb="FF333333"/>
      </patternFill>
    </fill>
  </fills>
  <borders count="2">
    <border diagonalUp="false" diagonalDown="false">
      <left/>
      <right/>
      <top/>
      <bottom/>
      <diagonal/>
    </border>
    <border diagonalUp="false" diagonalDown="false">
      <left style="thin">
        <color rgb="FFC9D2CE"/>
      </left>
      <right style="thin">
        <color rgb="FFC9D2CE"/>
      </right>
      <top style="thin">
        <color rgb="FFC9D2CE"/>
      </top>
      <bottom style="thin">
        <color rgb="FFC9D2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9D2C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F1E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2"/>
    </row>
    <row r="5" customFormat="false" ht="15" hidden="false" customHeight="false" outlineLevel="0" collapsed="false">
      <c r="A5" s="4" t="s">
        <v>3</v>
      </c>
    </row>
    <row r="6" customFormat="false" ht="15" hidden="false" customHeight="false" outlineLevel="0" collapsed="false">
      <c r="A6" s="5" t="s">
        <v>4</v>
      </c>
    </row>
    <row r="7" customFormat="false" ht="15" hidden="false" customHeight="false" outlineLevel="0" collapsed="false">
      <c r="A7" s="2" t="s">
        <v>5</v>
      </c>
    </row>
    <row r="8" customFormat="false" ht="15" hidden="false" customHeight="false" outlineLevel="0" collapsed="false">
      <c r="A8" s="6" t="s">
        <v>6</v>
      </c>
    </row>
    <row r="9" customFormat="false" ht="15" hidden="false" customHeight="false" outlineLevel="0" collapsed="false">
      <c r="A9" s="7" t="s">
        <v>7</v>
      </c>
    </row>
    <row r="10" customFormat="false" ht="15" hidden="false" customHeight="false" outlineLevel="0" collapsed="false">
      <c r="A10" s="2"/>
    </row>
    <row r="11" customFormat="false" ht="15" hidden="false" customHeight="false" outlineLevel="0" collapsed="false">
      <c r="A11" s="4"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2" t="s">
        <v>14</v>
      </c>
    </row>
    <row r="19" customFormat="false" ht="15" hidden="false" customHeight="false" outlineLevel="0" collapsed="false">
      <c r="A19"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3" min="3" style="0" width="18"/>
    <col collapsed="false" customWidth="true" hidden="false" outlineLevel="0" max="4" min="4" style="0" width="90"/>
  </cols>
  <sheetData>
    <row r="1" customFormat="false" ht="17.35" hidden="false" customHeight="false" outlineLevel="0" collapsed="false">
      <c r="A1" s="1" t="s">
        <v>16</v>
      </c>
      <c r="B1" s="8"/>
      <c r="C1" s="8"/>
      <c r="D1" s="8"/>
    </row>
    <row r="2" customFormat="false" ht="15" hidden="false" customHeight="false" outlineLevel="0" collapsed="false">
      <c r="A2" s="8"/>
      <c r="B2" s="8"/>
      <c r="C2" s="8"/>
      <c r="D2" s="8"/>
    </row>
    <row r="3" customFormat="false" ht="15" hidden="false" customHeight="false" outlineLevel="0" collapsed="false">
      <c r="A3" s="9" t="s">
        <v>17</v>
      </c>
      <c r="B3" s="9" t="s">
        <v>18</v>
      </c>
      <c r="C3" s="9" t="s">
        <v>19</v>
      </c>
      <c r="D3" s="9" t="s">
        <v>20</v>
      </c>
    </row>
    <row r="4" customFormat="false" ht="15" hidden="false" customHeight="false" outlineLevel="0" collapsed="false">
      <c r="A4" s="2" t="s">
        <v>21</v>
      </c>
      <c r="B4" s="5" t="n">
        <v>0.25</v>
      </c>
      <c r="C4" s="2" t="s">
        <v>22</v>
      </c>
      <c r="D4" s="2" t="s">
        <v>23</v>
      </c>
    </row>
    <row r="5" customFormat="false" ht="15" hidden="false" customHeight="false" outlineLevel="0" collapsed="false">
      <c r="A5" s="2" t="s">
        <v>24</v>
      </c>
      <c r="B5" s="10" t="n">
        <v>100</v>
      </c>
      <c r="C5" s="2" t="s">
        <v>25</v>
      </c>
      <c r="D5" s="2" t="s">
        <v>26</v>
      </c>
    </row>
    <row r="6" customFormat="false" ht="15" hidden="false" customHeight="false" outlineLevel="0" collapsed="false">
      <c r="A6" s="2" t="s">
        <v>27</v>
      </c>
      <c r="B6" s="10" t="n">
        <v>1</v>
      </c>
      <c r="C6" s="2" t="s">
        <v>28</v>
      </c>
      <c r="D6" s="2" t="s">
        <v>29</v>
      </c>
    </row>
    <row r="7" customFormat="false" ht="15" hidden="false" customHeight="false" outlineLevel="0" collapsed="false">
      <c r="A7" s="2" t="s">
        <v>30</v>
      </c>
      <c r="B7" s="10" t="n">
        <v>0.38</v>
      </c>
      <c r="C7" s="2" t="s">
        <v>31</v>
      </c>
      <c r="D7" s="2" t="s">
        <v>32</v>
      </c>
    </row>
    <row r="8" customFormat="false" ht="15" hidden="false" customHeight="false" outlineLevel="0" collapsed="false">
      <c r="A8" s="2" t="s">
        <v>33</v>
      </c>
      <c r="B8" s="10" t="n">
        <v>60</v>
      </c>
      <c r="C8" s="2" t="s">
        <v>34</v>
      </c>
      <c r="D8" s="2" t="s">
        <v>35</v>
      </c>
    </row>
    <row r="9" customFormat="false" ht="15" hidden="false" customHeight="false" outlineLevel="0" collapsed="false">
      <c r="A9" s="2" t="s">
        <v>36</v>
      </c>
      <c r="B9" s="5" t="n">
        <v>1E-007</v>
      </c>
      <c r="C9" s="2" t="s">
        <v>37</v>
      </c>
      <c r="D9" s="2"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4" min="3" style="0" width="17"/>
    <col collapsed="false" customWidth="true" hidden="false" outlineLevel="0" max="5" min="5" style="0" width="13"/>
    <col collapsed="false" customWidth="true" hidden="false" outlineLevel="0" max="7" min="6" style="0" width="11"/>
    <col collapsed="false" customWidth="true" hidden="false" outlineLevel="0" max="8" min="8" style="0" width="13"/>
    <col collapsed="false" customWidth="true" hidden="false" outlineLevel="0" max="9" min="9" style="0" width="15"/>
    <col collapsed="false" customWidth="true" hidden="false" outlineLevel="0" max="10" min="10" style="0" width="12"/>
    <col collapsed="false" customWidth="true" hidden="false" outlineLevel="0" max="11" min="11" style="0" width="17"/>
    <col collapsed="false" customWidth="true" hidden="false" outlineLevel="0" max="12" min="12" style="0" width="15"/>
    <col collapsed="false" customWidth="true" hidden="false" outlineLevel="0" max="13" min="13" style="0" width="17"/>
    <col collapsed="false" customWidth="true" hidden="false" outlineLevel="0" max="14" min="14" style="0" width="11"/>
    <col collapsed="false" customWidth="true" hidden="false" outlineLevel="0" max="15" min="15" style="0" width="17"/>
    <col collapsed="false" customWidth="true" hidden="false" outlineLevel="0" max="16" min="16" style="0" width="14"/>
    <col collapsed="false" customWidth="true" hidden="false" outlineLevel="0" max="17" min="17" style="0" width="62"/>
  </cols>
  <sheetData>
    <row r="1" customFormat="false" ht="17.35" hidden="false" customHeight="false" outlineLevel="0" collapsed="false">
      <c r="A1" s="1" t="s">
        <v>39</v>
      </c>
      <c r="B1" s="8"/>
      <c r="C1" s="8"/>
      <c r="D1" s="8"/>
      <c r="E1" s="8"/>
      <c r="F1" s="8"/>
      <c r="G1" s="8"/>
      <c r="H1" s="8"/>
      <c r="I1" s="8"/>
      <c r="J1" s="8"/>
      <c r="K1" s="8"/>
      <c r="L1" s="8"/>
      <c r="M1" s="8"/>
      <c r="N1" s="8"/>
      <c r="O1" s="8"/>
      <c r="P1" s="8"/>
      <c r="Q1" s="8"/>
    </row>
    <row r="2" customFormat="false" ht="15" hidden="false" customHeight="false" outlineLevel="0" collapsed="false">
      <c r="A2" s="8"/>
      <c r="B2" s="8"/>
      <c r="C2" s="8"/>
      <c r="D2" s="8"/>
      <c r="E2" s="8"/>
      <c r="F2" s="8"/>
      <c r="G2" s="8"/>
      <c r="H2" s="8"/>
      <c r="I2" s="8"/>
      <c r="J2" s="8"/>
      <c r="K2" s="8"/>
      <c r="L2" s="8"/>
      <c r="M2" s="8"/>
      <c r="N2" s="8"/>
      <c r="O2" s="8"/>
      <c r="P2" s="8"/>
      <c r="Q2" s="8"/>
    </row>
    <row r="3" customFormat="false" ht="48" hidden="false" customHeight="true" outlineLevel="0" collapsed="false">
      <c r="A3" s="9" t="s">
        <v>40</v>
      </c>
      <c r="B3" s="9" t="s">
        <v>41</v>
      </c>
      <c r="C3" s="9" t="s">
        <v>42</v>
      </c>
      <c r="D3" s="9" t="s">
        <v>43</v>
      </c>
      <c r="E3" s="9" t="s">
        <v>44</v>
      </c>
      <c r="F3" s="9" t="s">
        <v>45</v>
      </c>
      <c r="G3" s="9" t="s">
        <v>46</v>
      </c>
      <c r="H3" s="9" t="s">
        <v>47</v>
      </c>
      <c r="I3" s="9" t="s">
        <v>48</v>
      </c>
      <c r="J3" s="9" t="s">
        <v>49</v>
      </c>
      <c r="K3" s="9" t="s">
        <v>50</v>
      </c>
      <c r="L3" s="9" t="s">
        <v>51</v>
      </c>
      <c r="M3" s="9" t="s">
        <v>52</v>
      </c>
      <c r="N3" s="9" t="s">
        <v>53</v>
      </c>
      <c r="O3" s="9" t="s">
        <v>54</v>
      </c>
      <c r="P3" s="9" t="s">
        <v>55</v>
      </c>
      <c r="Q3" s="9" t="s">
        <v>56</v>
      </c>
    </row>
    <row r="4" customFormat="false" ht="15" hidden="false" customHeight="false" outlineLevel="0" collapsed="false">
      <c r="A4" s="2" t="s">
        <v>57</v>
      </c>
      <c r="B4" s="2" t="s">
        <v>58</v>
      </c>
      <c r="C4" s="11" t="n">
        <v>46307.6875</v>
      </c>
      <c r="D4" s="11" t="n">
        <v>46308.2708333333</v>
      </c>
      <c r="E4" s="5" t="n">
        <v>40</v>
      </c>
      <c r="F4" s="5" t="n">
        <v>22</v>
      </c>
      <c r="G4" s="5" t="n">
        <v>11</v>
      </c>
      <c r="H4" s="5" t="n">
        <v>11</v>
      </c>
      <c r="I4" s="12" t="n">
        <f aca="false">MIN(F4,G4,H4)</f>
        <v>11</v>
      </c>
      <c r="J4" s="12" t="n">
        <f aca="false">E4/I4</f>
        <v>3.63636363636364</v>
      </c>
      <c r="K4" s="13" t="n">
        <f aca="false">C4+J4/24</f>
        <v>46307.8390151515</v>
      </c>
      <c r="L4" s="2" t="str">
        <f aca="false">IF(K4&lt;=D4+Inputs!$B$9,"Yes","No (rule 5)")</f>
        <v>Yes</v>
      </c>
      <c r="M4" s="11" t="n">
        <v>46307.9166666667</v>
      </c>
      <c r="N4" s="5" t="n">
        <v>6</v>
      </c>
      <c r="O4" s="13" t="n">
        <f aca="false">M4+E4/N4/24</f>
        <v>46308.1944444444</v>
      </c>
      <c r="P4" s="2" t="str">
        <f aca="false">IF(AND(M4&gt;=C4-Inputs!$B$9,O4&lt;=D4+Inputs!$B$9),"OK","Check")</f>
        <v>OK</v>
      </c>
      <c r="Q4" s="2" t="s">
        <v>59</v>
      </c>
    </row>
    <row r="5" customFormat="false" ht="15" hidden="false" customHeight="false" outlineLevel="0" collapsed="false">
      <c r="A5" s="2" t="s">
        <v>60</v>
      </c>
      <c r="B5" s="2" t="s">
        <v>61</v>
      </c>
      <c r="C5" s="11" t="n">
        <v>46307.7083333333</v>
      </c>
      <c r="D5" s="11" t="n">
        <v>46308.2916666667</v>
      </c>
      <c r="E5" s="5" t="n">
        <v>35</v>
      </c>
      <c r="F5" s="5" t="n">
        <v>11</v>
      </c>
      <c r="G5" s="5" t="n">
        <v>11</v>
      </c>
      <c r="H5" s="5" t="n">
        <v>11</v>
      </c>
      <c r="I5" s="12" t="n">
        <f aca="false">MIN(F5,G5,H5)</f>
        <v>11</v>
      </c>
      <c r="J5" s="12" t="n">
        <f aca="false">E5/I5</f>
        <v>3.18181818181818</v>
      </c>
      <c r="K5" s="13" t="n">
        <f aca="false">C5+J5/24</f>
        <v>46307.8409090909</v>
      </c>
      <c r="L5" s="2" t="str">
        <f aca="false">IF(K5&lt;=D5+Inputs!$B$9,"Yes","No (rule 5)")</f>
        <v>Yes</v>
      </c>
      <c r="M5" s="11" t="n">
        <v>46307.9583333333</v>
      </c>
      <c r="N5" s="5" t="n">
        <v>6</v>
      </c>
      <c r="O5" s="13" t="n">
        <f aca="false">M5+E5/N5/24</f>
        <v>46308.2013888889</v>
      </c>
      <c r="P5" s="2" t="str">
        <f aca="false">IF(AND(M5&gt;=C5-Inputs!$B$9,O5&lt;=D5+Inputs!$B$9),"OK","Check")</f>
        <v>OK</v>
      </c>
      <c r="Q5" s="2"/>
    </row>
    <row r="6" customFormat="false" ht="15" hidden="false" customHeight="false" outlineLevel="0" collapsed="false">
      <c r="A6" s="2" t="s">
        <v>62</v>
      </c>
      <c r="B6" s="2" t="s">
        <v>63</v>
      </c>
      <c r="C6" s="11" t="n">
        <v>46307.71875</v>
      </c>
      <c r="D6" s="11" t="n">
        <v>46308.25</v>
      </c>
      <c r="E6" s="5" t="n">
        <v>30</v>
      </c>
      <c r="F6" s="5" t="n">
        <v>11</v>
      </c>
      <c r="G6" s="5" t="n">
        <v>7.4</v>
      </c>
      <c r="H6" s="5" t="n">
        <v>7.4</v>
      </c>
      <c r="I6" s="12" t="n">
        <f aca="false">MIN(F6,G6,H6)</f>
        <v>7.4</v>
      </c>
      <c r="J6" s="12" t="n">
        <f aca="false">E6/I6</f>
        <v>4.05405405405405</v>
      </c>
      <c r="K6" s="13" t="n">
        <f aca="false">C6+J6/24</f>
        <v>46307.8876689189</v>
      </c>
      <c r="L6" s="2" t="str">
        <f aca="false">IF(K6&lt;=D6+Inputs!$B$9,"Yes","No (rule 5)")</f>
        <v>Yes</v>
      </c>
      <c r="M6" s="11" t="n">
        <v>46307.8333333333</v>
      </c>
      <c r="N6" s="5" t="n">
        <v>5</v>
      </c>
      <c r="O6" s="13" t="n">
        <f aca="false">M6+E6/N6/24</f>
        <v>46308.0833333333</v>
      </c>
      <c r="P6" s="2" t="str">
        <f aca="false">IF(AND(M6&gt;=C6-Inputs!$B$9,O6&lt;=D6+Inputs!$B$9),"OK","Check")</f>
        <v>OK</v>
      </c>
      <c r="Q6" s="2" t="s">
        <v>64</v>
      </c>
    </row>
    <row r="7" customFormat="false" ht="15" hidden="false" customHeight="false" outlineLevel="0" collapsed="false">
      <c r="A7" s="2" t="s">
        <v>65</v>
      </c>
      <c r="B7" s="2" t="s">
        <v>66</v>
      </c>
      <c r="C7" s="11" t="n">
        <v>46307.75</v>
      </c>
      <c r="D7" s="11" t="n">
        <v>46308.3125</v>
      </c>
      <c r="E7" s="5" t="n">
        <v>45</v>
      </c>
      <c r="F7" s="5" t="n">
        <v>22</v>
      </c>
      <c r="G7" s="5" t="n">
        <v>22</v>
      </c>
      <c r="H7" s="5" t="n">
        <v>16</v>
      </c>
      <c r="I7" s="12" t="n">
        <f aca="false">MIN(F7,G7,H7)</f>
        <v>16</v>
      </c>
      <c r="J7" s="12" t="n">
        <f aca="false">E7/I7</f>
        <v>2.8125</v>
      </c>
      <c r="K7" s="13" t="n">
        <f aca="false">C7+J7/24</f>
        <v>46307.8671875</v>
      </c>
      <c r="L7" s="2" t="str">
        <f aca="false">IF(K7&lt;=D7+Inputs!$B$9,"Yes","No (rule 5)")</f>
        <v>Yes</v>
      </c>
      <c r="M7" s="11" t="n">
        <v>46308</v>
      </c>
      <c r="N7" s="5" t="n">
        <v>8</v>
      </c>
      <c r="O7" s="13" t="n">
        <f aca="false">M7+E7/N7/24</f>
        <v>46308.234375</v>
      </c>
      <c r="P7" s="2" t="str">
        <f aca="false">IF(AND(M7&gt;=C7-Inputs!$B$9,O7&lt;=D7+Inputs!$B$9),"OK","Check")</f>
        <v>OK</v>
      </c>
      <c r="Q7" s="2" t="s">
        <v>67</v>
      </c>
    </row>
    <row r="8" customFormat="false" ht="15" hidden="false" customHeight="false" outlineLevel="0" collapsed="false">
      <c r="A8" s="2" t="s">
        <v>68</v>
      </c>
      <c r="B8" s="2" t="s">
        <v>69</v>
      </c>
      <c r="C8" s="11" t="n">
        <v>46307.7916666667</v>
      </c>
      <c r="D8" s="11" t="n">
        <v>46307.8958333333</v>
      </c>
      <c r="E8" s="5" t="n">
        <v>12</v>
      </c>
      <c r="F8" s="5" t="n">
        <v>11</v>
      </c>
      <c r="G8" s="5" t="n">
        <v>4.6</v>
      </c>
      <c r="H8" s="5" t="n">
        <v>4.8</v>
      </c>
      <c r="I8" s="12" t="n">
        <f aca="false">MIN(F8,G8,H8)</f>
        <v>4.6</v>
      </c>
      <c r="J8" s="12" t="n">
        <f aca="false">E8/I8</f>
        <v>2.60869565217391</v>
      </c>
      <c r="K8" s="13" t="n">
        <f aca="false">C8+J8/24</f>
        <v>46307.9003623188</v>
      </c>
      <c r="L8" s="2" t="str">
        <f aca="false">IF(K8&lt;=D8+Inputs!$B$9,"Yes","No (rule 5)")</f>
        <v>No (rule 5)</v>
      </c>
      <c r="M8" s="11" t="n">
        <v>46307.7916666667</v>
      </c>
      <c r="N8" s="5" t="n">
        <v>4.8</v>
      </c>
      <c r="O8" s="13" t="n">
        <f aca="false">M8+E8/N8/24</f>
        <v>46307.8958333333</v>
      </c>
      <c r="P8" s="2" t="str">
        <f aca="false">IF(AND(M8&gt;=C8-Inputs!$B$9,O8&lt;=D8+Inputs!$B$9),"OK","Check")</f>
        <v>OK</v>
      </c>
      <c r="Q8" s="2"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7"/>
    <col collapsed="false" customWidth="true" hidden="false" outlineLevel="0" max="22" min="4" style="0" width="12"/>
  </cols>
  <sheetData>
    <row r="1" customFormat="false" ht="17.35" hidden="false" customHeight="false" outlineLevel="0" collapsed="false">
      <c r="A1" s="1" t="s">
        <v>71</v>
      </c>
      <c r="B1" s="8"/>
      <c r="C1" s="8"/>
      <c r="D1" s="8"/>
      <c r="E1" s="8"/>
      <c r="F1" s="8"/>
      <c r="G1" s="8"/>
      <c r="H1" s="8"/>
      <c r="I1" s="8"/>
      <c r="J1" s="8"/>
      <c r="K1" s="8"/>
      <c r="L1" s="8"/>
      <c r="M1" s="8"/>
      <c r="N1" s="8"/>
      <c r="O1" s="8"/>
      <c r="P1" s="8"/>
      <c r="Q1" s="8"/>
      <c r="R1" s="8"/>
      <c r="S1" s="8"/>
      <c r="T1" s="8"/>
      <c r="U1" s="8"/>
      <c r="V1" s="8"/>
    </row>
    <row r="2" customFormat="false" ht="15" hidden="false" customHeight="false" outlineLevel="0" collapsed="false">
      <c r="A2" s="8"/>
      <c r="B2" s="8"/>
      <c r="C2" s="8"/>
      <c r="D2" s="8"/>
      <c r="E2" s="8"/>
      <c r="F2" s="8"/>
      <c r="G2" s="8"/>
      <c r="H2" s="8"/>
      <c r="I2" s="8"/>
      <c r="J2" s="8"/>
      <c r="K2" s="8"/>
      <c r="L2" s="8"/>
      <c r="M2" s="8"/>
      <c r="N2" s="8"/>
      <c r="O2" s="8"/>
      <c r="P2" s="8"/>
      <c r="Q2" s="8"/>
      <c r="R2" s="8"/>
      <c r="S2" s="8"/>
      <c r="T2" s="8"/>
      <c r="U2" s="8"/>
      <c r="V2" s="8"/>
    </row>
    <row r="3" customFormat="false" ht="48" hidden="false" customHeight="true" outlineLevel="0" collapsed="false">
      <c r="A3" s="9" t="s">
        <v>72</v>
      </c>
      <c r="B3" s="9" t="s">
        <v>73</v>
      </c>
      <c r="C3" s="9" t="s">
        <v>74</v>
      </c>
      <c r="D3" s="9" t="s">
        <v>75</v>
      </c>
      <c r="E3" s="9" t="s">
        <v>76</v>
      </c>
      <c r="F3" s="9" t="s">
        <v>77</v>
      </c>
      <c r="G3" s="9" t="s">
        <v>78</v>
      </c>
      <c r="H3" s="9" t="s">
        <v>79</v>
      </c>
      <c r="I3" s="9" t="s">
        <v>80</v>
      </c>
      <c r="J3" s="9" t="s">
        <v>81</v>
      </c>
      <c r="K3" s="9" t="s">
        <v>82</v>
      </c>
      <c r="L3" s="9" t="s">
        <v>83</v>
      </c>
      <c r="M3" s="9" t="s">
        <v>84</v>
      </c>
      <c r="N3" s="9" t="s">
        <v>85</v>
      </c>
      <c r="O3" s="9" t="s">
        <v>86</v>
      </c>
      <c r="P3" s="9" t="s">
        <v>87</v>
      </c>
      <c r="Q3" s="9" t="s">
        <v>88</v>
      </c>
      <c r="R3" s="9" t="s">
        <v>89</v>
      </c>
      <c r="S3" s="9" t="s">
        <v>90</v>
      </c>
      <c r="T3" s="9" t="s">
        <v>91</v>
      </c>
      <c r="U3" s="9" t="s">
        <v>92</v>
      </c>
      <c r="V3" s="9" t="s">
        <v>93</v>
      </c>
    </row>
    <row r="4" customFormat="false" ht="15" hidden="false" customHeight="false" outlineLevel="0" collapsed="false">
      <c r="A4" s="2" t="n">
        <v>1</v>
      </c>
      <c r="B4" s="11" t="n">
        <v>46307.6666666667</v>
      </c>
      <c r="C4" s="13" t="n">
        <f aca="false">B4+1/96</f>
        <v>46307.6770833333</v>
      </c>
      <c r="D4" s="10" t="n">
        <v>0.32</v>
      </c>
      <c r="E4" s="10" t="n">
        <v>0.45</v>
      </c>
      <c r="F4" s="5" t="n">
        <v>1.5</v>
      </c>
      <c r="G4" s="14" t="n">
        <f aca="false">Sessions!$N$4*MAX(0,MIN($C4,Sessions!$O$4)-MAX($B4,Sessions!$M$4))*24</f>
        <v>0</v>
      </c>
      <c r="H4" s="14" t="n">
        <f aca="false">Sessions!$N$5*MAX(0,MIN($C4,Sessions!$O$5)-MAX($B4,Sessions!$M$5))*24</f>
        <v>0</v>
      </c>
      <c r="I4" s="14" t="n">
        <f aca="false">Sessions!$N$6*MAX(0,MIN($C4,Sessions!$O$6)-MAX($B4,Sessions!$M$6))*24</f>
        <v>0</v>
      </c>
      <c r="J4" s="14" t="n">
        <f aca="false">Sessions!$N$7*MAX(0,MIN($C4,Sessions!$O$7)-MAX($B4,Sessions!$M$7))*24</f>
        <v>0</v>
      </c>
      <c r="K4" s="14" t="n">
        <f aca="false">Sessions!$N$8*MAX(0,MIN($C4,Sessions!$O$8)-MAX($B4,Sessions!$M$8))*24</f>
        <v>0</v>
      </c>
      <c r="L4" s="14" t="n">
        <f aca="false">IF(Sessions!$L$4="Yes",Sessions!$I$4*MAX(0,MIN($C4,Sessions!$K$4)-MAX($B4,Sessions!$C$4))*24,G4)</f>
        <v>0</v>
      </c>
      <c r="M4" s="14" t="n">
        <f aca="false">IF(Sessions!$L$5="Yes",Sessions!$I$5*MAX(0,MIN($C4,Sessions!$K$5)-MAX($B4,Sessions!$C$5))*24,H4)</f>
        <v>0</v>
      </c>
      <c r="N4" s="14" t="n">
        <f aca="false">IF(Sessions!$L$6="Yes",Sessions!$I$6*MAX(0,MIN($C4,Sessions!$K$6)-MAX($B4,Sessions!$C$6))*24,I4)</f>
        <v>0</v>
      </c>
      <c r="O4" s="14" t="n">
        <f aca="false">IF(Sessions!$L$7="Yes",Sessions!$I$7*MAX(0,MIN($C4,Sessions!$K$7)-MAX($B4,Sessions!$C$7))*24,J4)</f>
        <v>0</v>
      </c>
      <c r="P4" s="14" t="n">
        <f aca="false">IF(Sessions!$L$8="Yes",Sessions!$I$8*MAX(0,MIN($C4,Sessions!$K$8)-MAX($B4,Sessions!$C$8))*24,K4)</f>
        <v>0</v>
      </c>
      <c r="Q4" s="15" t="n">
        <f aca="false">SUM(G4:K4)</f>
        <v>0</v>
      </c>
      <c r="R4" s="15" t="n">
        <f aca="false">SUM(L4:P4)</f>
        <v>0</v>
      </c>
      <c r="S4" s="15" t="n">
        <f aca="false">MAX(0,F4-Q4)</f>
        <v>1.5</v>
      </c>
      <c r="T4" s="15" t="n">
        <f aca="false">F4/Inputs!$B$4</f>
        <v>6</v>
      </c>
      <c r="U4" s="15" t="n">
        <f aca="false">(S4+R4)/Inputs!$B$4</f>
        <v>6</v>
      </c>
      <c r="V4" s="15" t="n">
        <f aca="false">MAX(0,R4-Q4)</f>
        <v>0</v>
      </c>
    </row>
    <row r="5" customFormat="false" ht="15" hidden="false" customHeight="false" outlineLevel="0" collapsed="false">
      <c r="A5" s="2" t="n">
        <v>2</v>
      </c>
      <c r="B5" s="11" t="n">
        <v>46307.6770833333</v>
      </c>
      <c r="C5" s="13" t="n">
        <f aca="false">B5+1/96</f>
        <v>46307.6875</v>
      </c>
      <c r="D5" s="10" t="n">
        <v>0.32</v>
      </c>
      <c r="E5" s="10" t="n">
        <v>0.45</v>
      </c>
      <c r="F5" s="5" t="n">
        <v>1.5</v>
      </c>
      <c r="G5" s="14" t="n">
        <f aca="false">Sessions!$N$4*MAX(0,MIN($C5,Sessions!$O$4)-MAX($B5,Sessions!$M$4))*24</f>
        <v>0</v>
      </c>
      <c r="H5" s="14" t="n">
        <f aca="false">Sessions!$N$5*MAX(0,MIN($C5,Sessions!$O$5)-MAX($B5,Sessions!$M$5))*24</f>
        <v>0</v>
      </c>
      <c r="I5" s="14" t="n">
        <f aca="false">Sessions!$N$6*MAX(0,MIN($C5,Sessions!$O$6)-MAX($B5,Sessions!$M$6))*24</f>
        <v>0</v>
      </c>
      <c r="J5" s="14" t="n">
        <f aca="false">Sessions!$N$7*MAX(0,MIN($C5,Sessions!$O$7)-MAX($B5,Sessions!$M$7))*24</f>
        <v>0</v>
      </c>
      <c r="K5" s="14" t="n">
        <f aca="false">Sessions!$N$8*MAX(0,MIN($C5,Sessions!$O$8)-MAX($B5,Sessions!$M$8))*24</f>
        <v>0</v>
      </c>
      <c r="L5" s="14" t="n">
        <f aca="false">IF(Sessions!$L$4="Yes",Sessions!$I$4*MAX(0,MIN($C5,Sessions!$K$4)-MAX($B5,Sessions!$C$4))*24,G5)</f>
        <v>0</v>
      </c>
      <c r="M5" s="14" t="n">
        <f aca="false">IF(Sessions!$L$5="Yes",Sessions!$I$5*MAX(0,MIN($C5,Sessions!$K$5)-MAX($B5,Sessions!$C$5))*24,H5)</f>
        <v>0</v>
      </c>
      <c r="N5" s="14" t="n">
        <f aca="false">IF(Sessions!$L$6="Yes",Sessions!$I$6*MAX(0,MIN($C5,Sessions!$K$6)-MAX($B5,Sessions!$C$6))*24,I5)</f>
        <v>0</v>
      </c>
      <c r="O5" s="14" t="n">
        <f aca="false">IF(Sessions!$L$7="Yes",Sessions!$I$7*MAX(0,MIN($C5,Sessions!$K$7)-MAX($B5,Sessions!$C$7))*24,J5)</f>
        <v>0</v>
      </c>
      <c r="P5" s="14" t="n">
        <f aca="false">IF(Sessions!$L$8="Yes",Sessions!$I$8*MAX(0,MIN($C5,Sessions!$K$8)-MAX($B5,Sessions!$C$8))*24,K5)</f>
        <v>0</v>
      </c>
      <c r="Q5" s="15" t="n">
        <f aca="false">SUM(G5:K5)</f>
        <v>0</v>
      </c>
      <c r="R5" s="15" t="n">
        <f aca="false">SUM(L5:P5)</f>
        <v>0</v>
      </c>
      <c r="S5" s="15" t="n">
        <f aca="false">MAX(0,F5-Q5)</f>
        <v>1.5</v>
      </c>
      <c r="T5" s="15" t="n">
        <f aca="false">F5/Inputs!$B$4</f>
        <v>6</v>
      </c>
      <c r="U5" s="15" t="n">
        <f aca="false">(S5+R5)/Inputs!$B$4</f>
        <v>6</v>
      </c>
      <c r="V5" s="15" t="n">
        <f aca="false">MAX(0,R5-Q5)</f>
        <v>0</v>
      </c>
    </row>
    <row r="6" customFormat="false" ht="15" hidden="false" customHeight="false" outlineLevel="0" collapsed="false">
      <c r="A6" s="2" t="n">
        <v>3</v>
      </c>
      <c r="B6" s="11" t="n">
        <v>46307.6875</v>
      </c>
      <c r="C6" s="13" t="n">
        <f aca="false">B6+1/96</f>
        <v>46307.6979166667</v>
      </c>
      <c r="D6" s="10" t="n">
        <v>0.32</v>
      </c>
      <c r="E6" s="10" t="n">
        <v>0.45</v>
      </c>
      <c r="F6" s="5" t="n">
        <v>1.5</v>
      </c>
      <c r="G6" s="14" t="n">
        <f aca="false">Sessions!$N$4*MAX(0,MIN($C6,Sessions!$O$4)-MAX($B6,Sessions!$M$4))*24</f>
        <v>0</v>
      </c>
      <c r="H6" s="14" t="n">
        <f aca="false">Sessions!$N$5*MAX(0,MIN($C6,Sessions!$O$5)-MAX($B6,Sessions!$M$5))*24</f>
        <v>0</v>
      </c>
      <c r="I6" s="14" t="n">
        <f aca="false">Sessions!$N$6*MAX(0,MIN($C6,Sessions!$O$6)-MAX($B6,Sessions!$M$6))*24</f>
        <v>0</v>
      </c>
      <c r="J6" s="14" t="n">
        <f aca="false">Sessions!$N$7*MAX(0,MIN($C6,Sessions!$O$7)-MAX($B6,Sessions!$M$7))*24</f>
        <v>0</v>
      </c>
      <c r="K6" s="14" t="n">
        <f aca="false">Sessions!$N$8*MAX(0,MIN($C6,Sessions!$O$8)-MAX($B6,Sessions!$M$8))*24</f>
        <v>0</v>
      </c>
      <c r="L6" s="14" t="n">
        <f aca="false">IF(Sessions!$L$4="Yes",Sessions!$I$4*MAX(0,MIN($C6,Sessions!$K$4)-MAX($B6,Sessions!$C$4))*24,G6)</f>
        <v>2.75</v>
      </c>
      <c r="M6" s="14" t="n">
        <f aca="false">IF(Sessions!$L$5="Yes",Sessions!$I$5*MAX(0,MIN($C6,Sessions!$K$5)-MAX($B6,Sessions!$C$5))*24,H6)</f>
        <v>0</v>
      </c>
      <c r="N6" s="14" t="n">
        <f aca="false">IF(Sessions!$L$6="Yes",Sessions!$I$6*MAX(0,MIN($C6,Sessions!$K$6)-MAX($B6,Sessions!$C$6))*24,I6)</f>
        <v>0</v>
      </c>
      <c r="O6" s="14" t="n">
        <f aca="false">IF(Sessions!$L$7="Yes",Sessions!$I$7*MAX(0,MIN($C6,Sessions!$K$7)-MAX($B6,Sessions!$C$7))*24,J6)</f>
        <v>0</v>
      </c>
      <c r="P6" s="14" t="n">
        <f aca="false">IF(Sessions!$L$8="Yes",Sessions!$I$8*MAX(0,MIN($C6,Sessions!$K$8)-MAX($B6,Sessions!$C$8))*24,K6)</f>
        <v>0</v>
      </c>
      <c r="Q6" s="15" t="n">
        <f aca="false">SUM(G6:K6)</f>
        <v>0</v>
      </c>
      <c r="R6" s="15" t="n">
        <f aca="false">SUM(L6:P6)</f>
        <v>2.75</v>
      </c>
      <c r="S6" s="15" t="n">
        <f aca="false">MAX(0,F6-Q6)</f>
        <v>1.5</v>
      </c>
      <c r="T6" s="15" t="n">
        <f aca="false">F6/Inputs!$B$4</f>
        <v>6</v>
      </c>
      <c r="U6" s="15" t="n">
        <f aca="false">(S6+R6)/Inputs!$B$4</f>
        <v>17</v>
      </c>
      <c r="V6" s="15" t="n">
        <f aca="false">MAX(0,R6-Q6)</f>
        <v>2.75</v>
      </c>
    </row>
    <row r="7" customFormat="false" ht="15" hidden="false" customHeight="false" outlineLevel="0" collapsed="false">
      <c r="A7" s="2" t="n">
        <v>4</v>
      </c>
      <c r="B7" s="11" t="n">
        <v>46307.6979166667</v>
      </c>
      <c r="C7" s="13" t="n">
        <f aca="false">B7+1/96</f>
        <v>46307.7083333333</v>
      </c>
      <c r="D7" s="10" t="n">
        <v>0.32</v>
      </c>
      <c r="E7" s="10" t="n">
        <v>0.45</v>
      </c>
      <c r="F7" s="5" t="n">
        <v>1.5</v>
      </c>
      <c r="G7" s="14" t="n">
        <f aca="false">Sessions!$N$4*MAX(0,MIN($C7,Sessions!$O$4)-MAX($B7,Sessions!$M$4))*24</f>
        <v>0</v>
      </c>
      <c r="H7" s="14" t="n">
        <f aca="false">Sessions!$N$5*MAX(0,MIN($C7,Sessions!$O$5)-MAX($B7,Sessions!$M$5))*24</f>
        <v>0</v>
      </c>
      <c r="I7" s="14" t="n">
        <f aca="false">Sessions!$N$6*MAX(0,MIN($C7,Sessions!$O$6)-MAX($B7,Sessions!$M$6))*24</f>
        <v>0</v>
      </c>
      <c r="J7" s="14" t="n">
        <f aca="false">Sessions!$N$7*MAX(0,MIN($C7,Sessions!$O$7)-MAX($B7,Sessions!$M$7))*24</f>
        <v>0</v>
      </c>
      <c r="K7" s="14" t="n">
        <f aca="false">Sessions!$N$8*MAX(0,MIN($C7,Sessions!$O$8)-MAX($B7,Sessions!$M$8))*24</f>
        <v>0</v>
      </c>
      <c r="L7" s="14" t="n">
        <f aca="false">IF(Sessions!$L$4="Yes",Sessions!$I$4*MAX(0,MIN($C7,Sessions!$K$4)-MAX($B7,Sessions!$C$4))*24,G7)</f>
        <v>2.75</v>
      </c>
      <c r="M7" s="14" t="n">
        <f aca="false">IF(Sessions!$L$5="Yes",Sessions!$I$5*MAX(0,MIN($C7,Sessions!$K$5)-MAX($B7,Sessions!$C$5))*24,H7)</f>
        <v>0</v>
      </c>
      <c r="N7" s="14" t="n">
        <f aca="false">IF(Sessions!$L$6="Yes",Sessions!$I$6*MAX(0,MIN($C7,Sessions!$K$6)-MAX($B7,Sessions!$C$6))*24,I7)</f>
        <v>0</v>
      </c>
      <c r="O7" s="14" t="n">
        <f aca="false">IF(Sessions!$L$7="Yes",Sessions!$I$7*MAX(0,MIN($C7,Sessions!$K$7)-MAX($B7,Sessions!$C$7))*24,J7)</f>
        <v>0</v>
      </c>
      <c r="P7" s="14" t="n">
        <f aca="false">IF(Sessions!$L$8="Yes",Sessions!$I$8*MAX(0,MIN($C7,Sessions!$K$8)-MAX($B7,Sessions!$C$8))*24,K7)</f>
        <v>0</v>
      </c>
      <c r="Q7" s="15" t="n">
        <f aca="false">SUM(G7:K7)</f>
        <v>0</v>
      </c>
      <c r="R7" s="15" t="n">
        <f aca="false">SUM(L7:P7)</f>
        <v>2.75</v>
      </c>
      <c r="S7" s="15" t="n">
        <f aca="false">MAX(0,F7-Q7)</f>
        <v>1.5</v>
      </c>
      <c r="T7" s="15" t="n">
        <f aca="false">F7/Inputs!$B$4</f>
        <v>6</v>
      </c>
      <c r="U7" s="15" t="n">
        <f aca="false">(S7+R7)/Inputs!$B$4</f>
        <v>17</v>
      </c>
      <c r="V7" s="15" t="n">
        <f aca="false">MAX(0,R7-Q7)</f>
        <v>2.75</v>
      </c>
    </row>
    <row r="8" customFormat="false" ht="15" hidden="false" customHeight="false" outlineLevel="0" collapsed="false">
      <c r="A8" s="2" t="n">
        <v>5</v>
      </c>
      <c r="B8" s="11" t="n">
        <v>46307.7083333333</v>
      </c>
      <c r="C8" s="13" t="n">
        <f aca="false">B8+1/96</f>
        <v>46307.71875</v>
      </c>
      <c r="D8" s="10" t="n">
        <v>0.32</v>
      </c>
      <c r="E8" s="10" t="n">
        <v>0.45</v>
      </c>
      <c r="F8" s="5" t="n">
        <v>1.5</v>
      </c>
      <c r="G8" s="14" t="n">
        <f aca="false">Sessions!$N$4*MAX(0,MIN($C8,Sessions!$O$4)-MAX($B8,Sessions!$M$4))*24</f>
        <v>0</v>
      </c>
      <c r="H8" s="14" t="n">
        <f aca="false">Sessions!$N$5*MAX(0,MIN($C8,Sessions!$O$5)-MAX($B8,Sessions!$M$5))*24</f>
        <v>0</v>
      </c>
      <c r="I8" s="14" t="n">
        <f aca="false">Sessions!$N$6*MAX(0,MIN($C8,Sessions!$O$6)-MAX($B8,Sessions!$M$6))*24</f>
        <v>0</v>
      </c>
      <c r="J8" s="14" t="n">
        <f aca="false">Sessions!$N$7*MAX(0,MIN($C8,Sessions!$O$7)-MAX($B8,Sessions!$M$7))*24</f>
        <v>0</v>
      </c>
      <c r="K8" s="14" t="n">
        <f aca="false">Sessions!$N$8*MAX(0,MIN($C8,Sessions!$O$8)-MAX($B8,Sessions!$M$8))*24</f>
        <v>0</v>
      </c>
      <c r="L8" s="14" t="n">
        <f aca="false">IF(Sessions!$L$4="Yes",Sessions!$I$4*MAX(0,MIN($C8,Sessions!$K$4)-MAX($B8,Sessions!$C$4))*24,G8)</f>
        <v>2.75</v>
      </c>
      <c r="M8" s="14" t="n">
        <f aca="false">IF(Sessions!$L$5="Yes",Sessions!$I$5*MAX(0,MIN($C8,Sessions!$K$5)-MAX($B8,Sessions!$C$5))*24,H8)</f>
        <v>2.75</v>
      </c>
      <c r="N8" s="14" t="n">
        <f aca="false">IF(Sessions!$L$6="Yes",Sessions!$I$6*MAX(0,MIN($C8,Sessions!$K$6)-MAX($B8,Sessions!$C$6))*24,I8)</f>
        <v>0</v>
      </c>
      <c r="O8" s="14" t="n">
        <f aca="false">IF(Sessions!$L$7="Yes",Sessions!$I$7*MAX(0,MIN($C8,Sessions!$K$7)-MAX($B8,Sessions!$C$7))*24,J8)</f>
        <v>0</v>
      </c>
      <c r="P8" s="14" t="n">
        <f aca="false">IF(Sessions!$L$8="Yes",Sessions!$I$8*MAX(0,MIN($C8,Sessions!$K$8)-MAX($B8,Sessions!$C$8))*24,K8)</f>
        <v>0</v>
      </c>
      <c r="Q8" s="15" t="n">
        <f aca="false">SUM(G8:K8)</f>
        <v>0</v>
      </c>
      <c r="R8" s="15" t="n">
        <f aca="false">SUM(L8:P8)</f>
        <v>5.5</v>
      </c>
      <c r="S8" s="15" t="n">
        <f aca="false">MAX(0,F8-Q8)</f>
        <v>1.5</v>
      </c>
      <c r="T8" s="15" t="n">
        <f aca="false">F8/Inputs!$B$4</f>
        <v>6</v>
      </c>
      <c r="U8" s="15" t="n">
        <f aca="false">(S8+R8)/Inputs!$B$4</f>
        <v>28</v>
      </c>
      <c r="V8" s="15" t="n">
        <f aca="false">MAX(0,R8-Q8)</f>
        <v>5.5</v>
      </c>
    </row>
    <row r="9" customFormat="false" ht="15" hidden="false" customHeight="false" outlineLevel="0" collapsed="false">
      <c r="A9" s="2" t="n">
        <v>6</v>
      </c>
      <c r="B9" s="11" t="n">
        <v>46307.71875</v>
      </c>
      <c r="C9" s="13" t="n">
        <f aca="false">B9+1/96</f>
        <v>46307.7291666667</v>
      </c>
      <c r="D9" s="10" t="n">
        <v>0.32</v>
      </c>
      <c r="E9" s="10" t="n">
        <v>0.45</v>
      </c>
      <c r="F9" s="5" t="n">
        <v>1.5</v>
      </c>
      <c r="G9" s="14" t="n">
        <f aca="false">Sessions!$N$4*MAX(0,MIN($C9,Sessions!$O$4)-MAX($B9,Sessions!$M$4))*24</f>
        <v>0</v>
      </c>
      <c r="H9" s="14" t="n">
        <f aca="false">Sessions!$N$5*MAX(0,MIN($C9,Sessions!$O$5)-MAX($B9,Sessions!$M$5))*24</f>
        <v>0</v>
      </c>
      <c r="I9" s="14" t="n">
        <f aca="false">Sessions!$N$6*MAX(0,MIN($C9,Sessions!$O$6)-MAX($B9,Sessions!$M$6))*24</f>
        <v>0</v>
      </c>
      <c r="J9" s="14" t="n">
        <f aca="false">Sessions!$N$7*MAX(0,MIN($C9,Sessions!$O$7)-MAX($B9,Sessions!$M$7))*24</f>
        <v>0</v>
      </c>
      <c r="K9" s="14" t="n">
        <f aca="false">Sessions!$N$8*MAX(0,MIN($C9,Sessions!$O$8)-MAX($B9,Sessions!$M$8))*24</f>
        <v>0</v>
      </c>
      <c r="L9" s="14" t="n">
        <f aca="false">IF(Sessions!$L$4="Yes",Sessions!$I$4*MAX(0,MIN($C9,Sessions!$K$4)-MAX($B9,Sessions!$C$4))*24,G9)</f>
        <v>2.75</v>
      </c>
      <c r="M9" s="14" t="n">
        <f aca="false">IF(Sessions!$L$5="Yes",Sessions!$I$5*MAX(0,MIN($C9,Sessions!$K$5)-MAX($B9,Sessions!$C$5))*24,H9)</f>
        <v>2.75</v>
      </c>
      <c r="N9" s="14" t="n">
        <f aca="false">IF(Sessions!$L$6="Yes",Sessions!$I$6*MAX(0,MIN($C9,Sessions!$K$6)-MAX($B9,Sessions!$C$6))*24,I9)</f>
        <v>1.85</v>
      </c>
      <c r="O9" s="14" t="n">
        <f aca="false">IF(Sessions!$L$7="Yes",Sessions!$I$7*MAX(0,MIN($C9,Sessions!$K$7)-MAX($B9,Sessions!$C$7))*24,J9)</f>
        <v>0</v>
      </c>
      <c r="P9" s="14" t="n">
        <f aca="false">IF(Sessions!$L$8="Yes",Sessions!$I$8*MAX(0,MIN($C9,Sessions!$K$8)-MAX($B9,Sessions!$C$8))*24,K9)</f>
        <v>0</v>
      </c>
      <c r="Q9" s="15" t="n">
        <f aca="false">SUM(G9:K9)</f>
        <v>0</v>
      </c>
      <c r="R9" s="15" t="n">
        <f aca="false">SUM(L9:P9)</f>
        <v>7.35</v>
      </c>
      <c r="S9" s="15" t="n">
        <f aca="false">MAX(0,F9-Q9)</f>
        <v>1.5</v>
      </c>
      <c r="T9" s="15" t="n">
        <f aca="false">F9/Inputs!$B$4</f>
        <v>6</v>
      </c>
      <c r="U9" s="15" t="n">
        <f aca="false">(S9+R9)/Inputs!$B$4</f>
        <v>35.4</v>
      </c>
      <c r="V9" s="15" t="n">
        <f aca="false">MAX(0,R9-Q9)</f>
        <v>7.35</v>
      </c>
    </row>
    <row r="10" customFormat="false" ht="15" hidden="false" customHeight="false" outlineLevel="0" collapsed="false">
      <c r="A10" s="2" t="n">
        <v>7</v>
      </c>
      <c r="B10" s="11" t="n">
        <v>46307.7291666667</v>
      </c>
      <c r="C10" s="13" t="n">
        <f aca="false">B10+1/96</f>
        <v>46307.7395833333</v>
      </c>
      <c r="D10" s="10" t="n">
        <v>0.32</v>
      </c>
      <c r="E10" s="10" t="n">
        <v>0.45</v>
      </c>
      <c r="F10" s="5" t="n">
        <v>1.5</v>
      </c>
      <c r="G10" s="14" t="n">
        <f aca="false">Sessions!$N$4*MAX(0,MIN($C10,Sessions!$O$4)-MAX($B10,Sessions!$M$4))*24</f>
        <v>0</v>
      </c>
      <c r="H10" s="14" t="n">
        <f aca="false">Sessions!$N$5*MAX(0,MIN($C10,Sessions!$O$5)-MAX($B10,Sessions!$M$5))*24</f>
        <v>0</v>
      </c>
      <c r="I10" s="14" t="n">
        <f aca="false">Sessions!$N$6*MAX(0,MIN($C10,Sessions!$O$6)-MAX($B10,Sessions!$M$6))*24</f>
        <v>0</v>
      </c>
      <c r="J10" s="14" t="n">
        <f aca="false">Sessions!$N$7*MAX(0,MIN($C10,Sessions!$O$7)-MAX($B10,Sessions!$M$7))*24</f>
        <v>0</v>
      </c>
      <c r="K10" s="14" t="n">
        <f aca="false">Sessions!$N$8*MAX(0,MIN($C10,Sessions!$O$8)-MAX($B10,Sessions!$M$8))*24</f>
        <v>0</v>
      </c>
      <c r="L10" s="14" t="n">
        <f aca="false">IF(Sessions!$L$4="Yes",Sessions!$I$4*MAX(0,MIN($C10,Sessions!$K$4)-MAX($B10,Sessions!$C$4))*24,G10)</f>
        <v>2.75</v>
      </c>
      <c r="M10" s="14" t="n">
        <f aca="false">IF(Sessions!$L$5="Yes",Sessions!$I$5*MAX(0,MIN($C10,Sessions!$K$5)-MAX($B10,Sessions!$C$5))*24,H10)</f>
        <v>2.75</v>
      </c>
      <c r="N10" s="14" t="n">
        <f aca="false">IF(Sessions!$L$6="Yes",Sessions!$I$6*MAX(0,MIN($C10,Sessions!$K$6)-MAX($B10,Sessions!$C$6))*24,I10)</f>
        <v>1.85</v>
      </c>
      <c r="O10" s="14" t="n">
        <f aca="false">IF(Sessions!$L$7="Yes",Sessions!$I$7*MAX(0,MIN($C10,Sessions!$K$7)-MAX($B10,Sessions!$C$7))*24,J10)</f>
        <v>0</v>
      </c>
      <c r="P10" s="14" t="n">
        <f aca="false">IF(Sessions!$L$8="Yes",Sessions!$I$8*MAX(0,MIN($C10,Sessions!$K$8)-MAX($B10,Sessions!$C$8))*24,K10)</f>
        <v>0</v>
      </c>
      <c r="Q10" s="15" t="n">
        <f aca="false">SUM(G10:K10)</f>
        <v>0</v>
      </c>
      <c r="R10" s="15" t="n">
        <f aca="false">SUM(L10:P10)</f>
        <v>7.35</v>
      </c>
      <c r="S10" s="15" t="n">
        <f aca="false">MAX(0,F10-Q10)</f>
        <v>1.5</v>
      </c>
      <c r="T10" s="15" t="n">
        <f aca="false">F10/Inputs!$B$4</f>
        <v>6</v>
      </c>
      <c r="U10" s="15" t="n">
        <f aca="false">(S10+R10)/Inputs!$B$4</f>
        <v>35.4</v>
      </c>
      <c r="V10" s="15" t="n">
        <f aca="false">MAX(0,R10-Q10)</f>
        <v>7.35</v>
      </c>
    </row>
    <row r="11" customFormat="false" ht="15" hidden="false" customHeight="false" outlineLevel="0" collapsed="false">
      <c r="A11" s="2" t="n">
        <v>8</v>
      </c>
      <c r="B11" s="11" t="n">
        <v>46307.7395833333</v>
      </c>
      <c r="C11" s="13" t="n">
        <f aca="false">B11+1/96</f>
        <v>46307.75</v>
      </c>
      <c r="D11" s="10" t="n">
        <v>0.32</v>
      </c>
      <c r="E11" s="10" t="n">
        <v>0.45</v>
      </c>
      <c r="F11" s="5" t="n">
        <v>1.5</v>
      </c>
      <c r="G11" s="14" t="n">
        <f aca="false">Sessions!$N$4*MAX(0,MIN($C11,Sessions!$O$4)-MAX($B11,Sessions!$M$4))*24</f>
        <v>0</v>
      </c>
      <c r="H11" s="14" t="n">
        <f aca="false">Sessions!$N$5*MAX(0,MIN($C11,Sessions!$O$5)-MAX($B11,Sessions!$M$5))*24</f>
        <v>0</v>
      </c>
      <c r="I11" s="14" t="n">
        <f aca="false">Sessions!$N$6*MAX(0,MIN($C11,Sessions!$O$6)-MAX($B11,Sessions!$M$6))*24</f>
        <v>0</v>
      </c>
      <c r="J11" s="14" t="n">
        <f aca="false">Sessions!$N$7*MAX(0,MIN($C11,Sessions!$O$7)-MAX($B11,Sessions!$M$7))*24</f>
        <v>0</v>
      </c>
      <c r="K11" s="14" t="n">
        <f aca="false">Sessions!$N$8*MAX(0,MIN($C11,Sessions!$O$8)-MAX($B11,Sessions!$M$8))*24</f>
        <v>0</v>
      </c>
      <c r="L11" s="14" t="n">
        <f aca="false">IF(Sessions!$L$4="Yes",Sessions!$I$4*MAX(0,MIN($C11,Sessions!$K$4)-MAX($B11,Sessions!$C$4))*24,G11)</f>
        <v>2.75</v>
      </c>
      <c r="M11" s="14" t="n">
        <f aca="false">IF(Sessions!$L$5="Yes",Sessions!$I$5*MAX(0,MIN($C11,Sessions!$K$5)-MAX($B11,Sessions!$C$5))*24,H11)</f>
        <v>2.75</v>
      </c>
      <c r="N11" s="14" t="n">
        <f aca="false">IF(Sessions!$L$6="Yes",Sessions!$I$6*MAX(0,MIN($C11,Sessions!$K$6)-MAX($B11,Sessions!$C$6))*24,I11)</f>
        <v>1.85</v>
      </c>
      <c r="O11" s="14" t="n">
        <f aca="false">IF(Sessions!$L$7="Yes",Sessions!$I$7*MAX(0,MIN($C11,Sessions!$K$7)-MAX($B11,Sessions!$C$7))*24,J11)</f>
        <v>0</v>
      </c>
      <c r="P11" s="14" t="n">
        <f aca="false">IF(Sessions!$L$8="Yes",Sessions!$I$8*MAX(0,MIN($C11,Sessions!$K$8)-MAX($B11,Sessions!$C$8))*24,K11)</f>
        <v>0</v>
      </c>
      <c r="Q11" s="15" t="n">
        <f aca="false">SUM(G11:K11)</f>
        <v>0</v>
      </c>
      <c r="R11" s="15" t="n">
        <f aca="false">SUM(L11:P11)</f>
        <v>7.35</v>
      </c>
      <c r="S11" s="15" t="n">
        <f aca="false">MAX(0,F11-Q11)</f>
        <v>1.5</v>
      </c>
      <c r="T11" s="15" t="n">
        <f aca="false">F11/Inputs!$B$4</f>
        <v>6</v>
      </c>
      <c r="U11" s="15" t="n">
        <f aca="false">(S11+R11)/Inputs!$B$4</f>
        <v>35.4</v>
      </c>
      <c r="V11" s="15" t="n">
        <f aca="false">MAX(0,R11-Q11)</f>
        <v>7.35</v>
      </c>
    </row>
    <row r="12" customFormat="false" ht="15" hidden="false" customHeight="false" outlineLevel="0" collapsed="false">
      <c r="A12" s="2" t="n">
        <v>9</v>
      </c>
      <c r="B12" s="11" t="n">
        <v>46307.75</v>
      </c>
      <c r="C12" s="13" t="n">
        <f aca="false">B12+1/96</f>
        <v>46307.7604166667</v>
      </c>
      <c r="D12" s="10" t="n">
        <v>0.32</v>
      </c>
      <c r="E12" s="10" t="n">
        <v>0.45</v>
      </c>
      <c r="F12" s="5" t="n">
        <v>1</v>
      </c>
      <c r="G12" s="14" t="n">
        <f aca="false">Sessions!$N$4*MAX(0,MIN($C12,Sessions!$O$4)-MAX($B12,Sessions!$M$4))*24</f>
        <v>0</v>
      </c>
      <c r="H12" s="14" t="n">
        <f aca="false">Sessions!$N$5*MAX(0,MIN($C12,Sessions!$O$5)-MAX($B12,Sessions!$M$5))*24</f>
        <v>0</v>
      </c>
      <c r="I12" s="14" t="n">
        <f aca="false">Sessions!$N$6*MAX(0,MIN($C12,Sessions!$O$6)-MAX($B12,Sessions!$M$6))*24</f>
        <v>0</v>
      </c>
      <c r="J12" s="14" t="n">
        <f aca="false">Sessions!$N$7*MAX(0,MIN($C12,Sessions!$O$7)-MAX($B12,Sessions!$M$7))*24</f>
        <v>0</v>
      </c>
      <c r="K12" s="14" t="n">
        <f aca="false">Sessions!$N$8*MAX(0,MIN($C12,Sessions!$O$8)-MAX($B12,Sessions!$M$8))*24</f>
        <v>0</v>
      </c>
      <c r="L12" s="14" t="n">
        <f aca="false">IF(Sessions!$L$4="Yes",Sessions!$I$4*MAX(0,MIN($C12,Sessions!$K$4)-MAX($B12,Sessions!$C$4))*24,G12)</f>
        <v>2.75</v>
      </c>
      <c r="M12" s="14" t="n">
        <f aca="false">IF(Sessions!$L$5="Yes",Sessions!$I$5*MAX(0,MIN($C12,Sessions!$K$5)-MAX($B12,Sessions!$C$5))*24,H12)</f>
        <v>2.75</v>
      </c>
      <c r="N12" s="14" t="n">
        <f aca="false">IF(Sessions!$L$6="Yes",Sessions!$I$6*MAX(0,MIN($C12,Sessions!$K$6)-MAX($B12,Sessions!$C$6))*24,I12)</f>
        <v>1.85</v>
      </c>
      <c r="O12" s="14" t="n">
        <f aca="false">IF(Sessions!$L$7="Yes",Sessions!$I$7*MAX(0,MIN($C12,Sessions!$K$7)-MAX($B12,Sessions!$C$7))*24,J12)</f>
        <v>4</v>
      </c>
      <c r="P12" s="14" t="n">
        <f aca="false">IF(Sessions!$L$8="Yes",Sessions!$I$8*MAX(0,MIN($C12,Sessions!$K$8)-MAX($B12,Sessions!$C$8))*24,K12)</f>
        <v>0</v>
      </c>
      <c r="Q12" s="15" t="n">
        <f aca="false">SUM(G12:K12)</f>
        <v>0</v>
      </c>
      <c r="R12" s="15" t="n">
        <f aca="false">SUM(L12:P12)</f>
        <v>11.35</v>
      </c>
      <c r="S12" s="15" t="n">
        <f aca="false">MAX(0,F12-Q12)</f>
        <v>1</v>
      </c>
      <c r="T12" s="15" t="n">
        <f aca="false">F12/Inputs!$B$4</f>
        <v>4</v>
      </c>
      <c r="U12" s="15" t="n">
        <f aca="false">(S12+R12)/Inputs!$B$4</f>
        <v>49.4</v>
      </c>
      <c r="V12" s="15" t="n">
        <f aca="false">MAX(0,R12-Q12)</f>
        <v>11.35</v>
      </c>
    </row>
    <row r="13" customFormat="false" ht="15" hidden="false" customHeight="false" outlineLevel="0" collapsed="false">
      <c r="A13" s="2" t="n">
        <v>10</v>
      </c>
      <c r="B13" s="11" t="n">
        <v>46307.7604166667</v>
      </c>
      <c r="C13" s="13" t="n">
        <f aca="false">B13+1/96</f>
        <v>46307.7708333333</v>
      </c>
      <c r="D13" s="10" t="n">
        <v>0.32</v>
      </c>
      <c r="E13" s="10" t="n">
        <v>0.45</v>
      </c>
      <c r="F13" s="5" t="n">
        <v>1</v>
      </c>
      <c r="G13" s="14" t="n">
        <f aca="false">Sessions!$N$4*MAX(0,MIN($C13,Sessions!$O$4)-MAX($B13,Sessions!$M$4))*24</f>
        <v>0</v>
      </c>
      <c r="H13" s="14" t="n">
        <f aca="false">Sessions!$N$5*MAX(0,MIN($C13,Sessions!$O$5)-MAX($B13,Sessions!$M$5))*24</f>
        <v>0</v>
      </c>
      <c r="I13" s="14" t="n">
        <f aca="false">Sessions!$N$6*MAX(0,MIN($C13,Sessions!$O$6)-MAX($B13,Sessions!$M$6))*24</f>
        <v>0</v>
      </c>
      <c r="J13" s="14" t="n">
        <f aca="false">Sessions!$N$7*MAX(0,MIN($C13,Sessions!$O$7)-MAX($B13,Sessions!$M$7))*24</f>
        <v>0</v>
      </c>
      <c r="K13" s="14" t="n">
        <f aca="false">Sessions!$N$8*MAX(0,MIN($C13,Sessions!$O$8)-MAX($B13,Sessions!$M$8))*24</f>
        <v>0</v>
      </c>
      <c r="L13" s="14" t="n">
        <f aca="false">IF(Sessions!$L$4="Yes",Sessions!$I$4*MAX(0,MIN($C13,Sessions!$K$4)-MAX($B13,Sessions!$C$4))*24,G13)</f>
        <v>2.75</v>
      </c>
      <c r="M13" s="14" t="n">
        <f aca="false">IF(Sessions!$L$5="Yes",Sessions!$I$5*MAX(0,MIN($C13,Sessions!$K$5)-MAX($B13,Sessions!$C$5))*24,H13)</f>
        <v>2.75</v>
      </c>
      <c r="N13" s="14" t="n">
        <f aca="false">IF(Sessions!$L$6="Yes",Sessions!$I$6*MAX(0,MIN($C13,Sessions!$K$6)-MAX($B13,Sessions!$C$6))*24,I13)</f>
        <v>1.85</v>
      </c>
      <c r="O13" s="14" t="n">
        <f aca="false">IF(Sessions!$L$7="Yes",Sessions!$I$7*MAX(0,MIN($C13,Sessions!$K$7)-MAX($B13,Sessions!$C$7))*24,J13)</f>
        <v>4</v>
      </c>
      <c r="P13" s="14" t="n">
        <f aca="false">IF(Sessions!$L$8="Yes",Sessions!$I$8*MAX(0,MIN($C13,Sessions!$K$8)-MAX($B13,Sessions!$C$8))*24,K13)</f>
        <v>0</v>
      </c>
      <c r="Q13" s="15" t="n">
        <f aca="false">SUM(G13:K13)</f>
        <v>0</v>
      </c>
      <c r="R13" s="15" t="n">
        <f aca="false">SUM(L13:P13)</f>
        <v>11.35</v>
      </c>
      <c r="S13" s="15" t="n">
        <f aca="false">MAX(0,F13-Q13)</f>
        <v>1</v>
      </c>
      <c r="T13" s="15" t="n">
        <f aca="false">F13/Inputs!$B$4</f>
        <v>4</v>
      </c>
      <c r="U13" s="15" t="n">
        <f aca="false">(S13+R13)/Inputs!$B$4</f>
        <v>49.4</v>
      </c>
      <c r="V13" s="15" t="n">
        <f aca="false">MAX(0,R13-Q13)</f>
        <v>11.35</v>
      </c>
    </row>
    <row r="14" customFormat="false" ht="15" hidden="false" customHeight="false" outlineLevel="0" collapsed="false">
      <c r="A14" s="2" t="n">
        <v>11</v>
      </c>
      <c r="B14" s="11" t="n">
        <v>46307.7708333333</v>
      </c>
      <c r="C14" s="13" t="n">
        <f aca="false">B14+1/96</f>
        <v>46307.78125</v>
      </c>
      <c r="D14" s="10" t="n">
        <v>0.32</v>
      </c>
      <c r="E14" s="10" t="n">
        <v>0.45</v>
      </c>
      <c r="F14" s="5" t="n">
        <v>1</v>
      </c>
      <c r="G14" s="14" t="n">
        <f aca="false">Sessions!$N$4*MAX(0,MIN($C14,Sessions!$O$4)-MAX($B14,Sessions!$M$4))*24</f>
        <v>0</v>
      </c>
      <c r="H14" s="14" t="n">
        <f aca="false">Sessions!$N$5*MAX(0,MIN($C14,Sessions!$O$5)-MAX($B14,Sessions!$M$5))*24</f>
        <v>0</v>
      </c>
      <c r="I14" s="14" t="n">
        <f aca="false">Sessions!$N$6*MAX(0,MIN($C14,Sessions!$O$6)-MAX($B14,Sessions!$M$6))*24</f>
        <v>0</v>
      </c>
      <c r="J14" s="14" t="n">
        <f aca="false">Sessions!$N$7*MAX(0,MIN($C14,Sessions!$O$7)-MAX($B14,Sessions!$M$7))*24</f>
        <v>0</v>
      </c>
      <c r="K14" s="14" t="n">
        <f aca="false">Sessions!$N$8*MAX(0,MIN($C14,Sessions!$O$8)-MAX($B14,Sessions!$M$8))*24</f>
        <v>0</v>
      </c>
      <c r="L14" s="14" t="n">
        <f aca="false">IF(Sessions!$L$4="Yes",Sessions!$I$4*MAX(0,MIN($C14,Sessions!$K$4)-MAX($B14,Sessions!$C$4))*24,G14)</f>
        <v>2.75</v>
      </c>
      <c r="M14" s="14" t="n">
        <f aca="false">IF(Sessions!$L$5="Yes",Sessions!$I$5*MAX(0,MIN($C14,Sessions!$K$5)-MAX($B14,Sessions!$C$5))*24,H14)</f>
        <v>2.75</v>
      </c>
      <c r="N14" s="14" t="n">
        <f aca="false">IF(Sessions!$L$6="Yes",Sessions!$I$6*MAX(0,MIN($C14,Sessions!$K$6)-MAX($B14,Sessions!$C$6))*24,I14)</f>
        <v>1.85</v>
      </c>
      <c r="O14" s="14" t="n">
        <f aca="false">IF(Sessions!$L$7="Yes",Sessions!$I$7*MAX(0,MIN($C14,Sessions!$K$7)-MAX($B14,Sessions!$C$7))*24,J14)</f>
        <v>4</v>
      </c>
      <c r="P14" s="14" t="n">
        <f aca="false">IF(Sessions!$L$8="Yes",Sessions!$I$8*MAX(0,MIN($C14,Sessions!$K$8)-MAX($B14,Sessions!$C$8))*24,K14)</f>
        <v>0</v>
      </c>
      <c r="Q14" s="15" t="n">
        <f aca="false">SUM(G14:K14)</f>
        <v>0</v>
      </c>
      <c r="R14" s="15" t="n">
        <f aca="false">SUM(L14:P14)</f>
        <v>11.35</v>
      </c>
      <c r="S14" s="15" t="n">
        <f aca="false">MAX(0,F14-Q14)</f>
        <v>1</v>
      </c>
      <c r="T14" s="15" t="n">
        <f aca="false">F14/Inputs!$B$4</f>
        <v>4</v>
      </c>
      <c r="U14" s="15" t="n">
        <f aca="false">(S14+R14)/Inputs!$B$4</f>
        <v>49.4</v>
      </c>
      <c r="V14" s="15" t="n">
        <f aca="false">MAX(0,R14-Q14)</f>
        <v>11.35</v>
      </c>
    </row>
    <row r="15" customFormat="false" ht="15" hidden="false" customHeight="false" outlineLevel="0" collapsed="false">
      <c r="A15" s="2" t="n">
        <v>12</v>
      </c>
      <c r="B15" s="11" t="n">
        <v>46307.78125</v>
      </c>
      <c r="C15" s="13" t="n">
        <f aca="false">B15+1/96</f>
        <v>46307.7916666667</v>
      </c>
      <c r="D15" s="10" t="n">
        <v>0.32</v>
      </c>
      <c r="E15" s="10" t="n">
        <v>0.45</v>
      </c>
      <c r="F15" s="5" t="n">
        <v>1</v>
      </c>
      <c r="G15" s="14" t="n">
        <f aca="false">Sessions!$N$4*MAX(0,MIN($C15,Sessions!$O$4)-MAX($B15,Sessions!$M$4))*24</f>
        <v>0</v>
      </c>
      <c r="H15" s="14" t="n">
        <f aca="false">Sessions!$N$5*MAX(0,MIN($C15,Sessions!$O$5)-MAX($B15,Sessions!$M$5))*24</f>
        <v>0</v>
      </c>
      <c r="I15" s="14" t="n">
        <f aca="false">Sessions!$N$6*MAX(0,MIN($C15,Sessions!$O$6)-MAX($B15,Sessions!$M$6))*24</f>
        <v>0</v>
      </c>
      <c r="J15" s="14" t="n">
        <f aca="false">Sessions!$N$7*MAX(0,MIN($C15,Sessions!$O$7)-MAX($B15,Sessions!$M$7))*24</f>
        <v>0</v>
      </c>
      <c r="K15" s="14" t="n">
        <f aca="false">Sessions!$N$8*MAX(0,MIN($C15,Sessions!$O$8)-MAX($B15,Sessions!$M$8))*24</f>
        <v>0</v>
      </c>
      <c r="L15" s="14" t="n">
        <f aca="false">IF(Sessions!$L$4="Yes",Sessions!$I$4*MAX(0,MIN($C15,Sessions!$K$4)-MAX($B15,Sessions!$C$4))*24,G15)</f>
        <v>2.75</v>
      </c>
      <c r="M15" s="14" t="n">
        <f aca="false">IF(Sessions!$L$5="Yes",Sessions!$I$5*MAX(0,MIN($C15,Sessions!$K$5)-MAX($B15,Sessions!$C$5))*24,H15)</f>
        <v>2.75</v>
      </c>
      <c r="N15" s="14" t="n">
        <f aca="false">IF(Sessions!$L$6="Yes",Sessions!$I$6*MAX(0,MIN($C15,Sessions!$K$6)-MAX($B15,Sessions!$C$6))*24,I15)</f>
        <v>1.85</v>
      </c>
      <c r="O15" s="14" t="n">
        <f aca="false">IF(Sessions!$L$7="Yes",Sessions!$I$7*MAX(0,MIN($C15,Sessions!$K$7)-MAX($B15,Sessions!$C$7))*24,J15)</f>
        <v>4</v>
      </c>
      <c r="P15" s="14" t="n">
        <f aca="false">IF(Sessions!$L$8="Yes",Sessions!$I$8*MAX(0,MIN($C15,Sessions!$K$8)-MAX($B15,Sessions!$C$8))*24,K15)</f>
        <v>0</v>
      </c>
      <c r="Q15" s="15" t="n">
        <f aca="false">SUM(G15:K15)</f>
        <v>0</v>
      </c>
      <c r="R15" s="15" t="n">
        <f aca="false">SUM(L15:P15)</f>
        <v>11.35</v>
      </c>
      <c r="S15" s="15" t="n">
        <f aca="false">MAX(0,F15-Q15)</f>
        <v>1</v>
      </c>
      <c r="T15" s="15" t="n">
        <f aca="false">F15/Inputs!$B$4</f>
        <v>4</v>
      </c>
      <c r="U15" s="15" t="n">
        <f aca="false">(S15+R15)/Inputs!$B$4</f>
        <v>49.4</v>
      </c>
      <c r="V15" s="15" t="n">
        <f aca="false">MAX(0,R15-Q15)</f>
        <v>11.35</v>
      </c>
    </row>
    <row r="16" customFormat="false" ht="15" hidden="false" customHeight="false" outlineLevel="0" collapsed="false">
      <c r="A16" s="2" t="n">
        <v>13</v>
      </c>
      <c r="B16" s="11" t="n">
        <v>46307.7916666667</v>
      </c>
      <c r="C16" s="13" t="n">
        <f aca="false">B16+1/96</f>
        <v>46307.8020833333</v>
      </c>
      <c r="D16" s="10" t="n">
        <v>0.32</v>
      </c>
      <c r="E16" s="10" t="n">
        <v>0.45</v>
      </c>
      <c r="F16" s="5" t="n">
        <v>2.2</v>
      </c>
      <c r="G16" s="14" t="n">
        <f aca="false">Sessions!$N$4*MAX(0,MIN($C16,Sessions!$O$4)-MAX($B16,Sessions!$M$4))*24</f>
        <v>0</v>
      </c>
      <c r="H16" s="14" t="n">
        <f aca="false">Sessions!$N$5*MAX(0,MIN($C16,Sessions!$O$5)-MAX($B16,Sessions!$M$5))*24</f>
        <v>0</v>
      </c>
      <c r="I16" s="14" t="n">
        <f aca="false">Sessions!$N$6*MAX(0,MIN($C16,Sessions!$O$6)-MAX($B16,Sessions!$M$6))*24</f>
        <v>0</v>
      </c>
      <c r="J16" s="14" t="n">
        <f aca="false">Sessions!$N$7*MAX(0,MIN($C16,Sessions!$O$7)-MAX($B16,Sessions!$M$7))*24</f>
        <v>0</v>
      </c>
      <c r="K16" s="14" t="n">
        <f aca="false">Sessions!$N$8*MAX(0,MIN($C16,Sessions!$O$8)-MAX($B16,Sessions!$M$8))*24</f>
        <v>1.2</v>
      </c>
      <c r="L16" s="14" t="n">
        <f aca="false">IF(Sessions!$L$4="Yes",Sessions!$I$4*MAX(0,MIN($C16,Sessions!$K$4)-MAX($B16,Sessions!$C$4))*24,G16)</f>
        <v>2.75</v>
      </c>
      <c r="M16" s="14" t="n">
        <f aca="false">IF(Sessions!$L$5="Yes",Sessions!$I$5*MAX(0,MIN($C16,Sessions!$K$5)-MAX($B16,Sessions!$C$5))*24,H16)</f>
        <v>2.75</v>
      </c>
      <c r="N16" s="14" t="n">
        <f aca="false">IF(Sessions!$L$6="Yes",Sessions!$I$6*MAX(0,MIN($C16,Sessions!$K$6)-MAX($B16,Sessions!$C$6))*24,I16)</f>
        <v>1.85</v>
      </c>
      <c r="O16" s="14" t="n">
        <f aca="false">IF(Sessions!$L$7="Yes",Sessions!$I$7*MAX(0,MIN($C16,Sessions!$K$7)-MAX($B16,Sessions!$C$7))*24,J16)</f>
        <v>4</v>
      </c>
      <c r="P16" s="14" t="n">
        <f aca="false">IF(Sessions!$L$8="Yes",Sessions!$I$8*MAX(0,MIN($C16,Sessions!$K$8)-MAX($B16,Sessions!$C$8))*24,K16)</f>
        <v>1.2</v>
      </c>
      <c r="Q16" s="15" t="n">
        <f aca="false">SUM(G16:K16)</f>
        <v>1.2</v>
      </c>
      <c r="R16" s="15" t="n">
        <f aca="false">SUM(L16:P16)</f>
        <v>12.55</v>
      </c>
      <c r="S16" s="15" t="n">
        <f aca="false">MAX(0,F16-Q16)</f>
        <v>1</v>
      </c>
      <c r="T16" s="15" t="n">
        <f aca="false">F16/Inputs!$B$4</f>
        <v>8.8</v>
      </c>
      <c r="U16" s="15" t="n">
        <f aca="false">(S16+R16)/Inputs!$B$4</f>
        <v>54.2</v>
      </c>
      <c r="V16" s="15" t="n">
        <f aca="false">MAX(0,R16-Q16)</f>
        <v>11.35</v>
      </c>
    </row>
    <row r="17" customFormat="false" ht="15" hidden="false" customHeight="false" outlineLevel="0" collapsed="false">
      <c r="A17" s="2" t="n">
        <v>14</v>
      </c>
      <c r="B17" s="11" t="n">
        <v>46307.8020833333</v>
      </c>
      <c r="C17" s="13" t="n">
        <f aca="false">B17+1/96</f>
        <v>46307.8125</v>
      </c>
      <c r="D17" s="10" t="n">
        <v>0.32</v>
      </c>
      <c r="E17" s="10" t="n">
        <v>0.45</v>
      </c>
      <c r="F17" s="5" t="n">
        <v>2.2</v>
      </c>
      <c r="G17" s="14" t="n">
        <f aca="false">Sessions!$N$4*MAX(0,MIN($C17,Sessions!$O$4)-MAX($B17,Sessions!$M$4))*24</f>
        <v>0</v>
      </c>
      <c r="H17" s="14" t="n">
        <f aca="false">Sessions!$N$5*MAX(0,MIN($C17,Sessions!$O$5)-MAX($B17,Sessions!$M$5))*24</f>
        <v>0</v>
      </c>
      <c r="I17" s="14" t="n">
        <f aca="false">Sessions!$N$6*MAX(0,MIN($C17,Sessions!$O$6)-MAX($B17,Sessions!$M$6))*24</f>
        <v>0</v>
      </c>
      <c r="J17" s="14" t="n">
        <f aca="false">Sessions!$N$7*MAX(0,MIN($C17,Sessions!$O$7)-MAX($B17,Sessions!$M$7))*24</f>
        <v>0</v>
      </c>
      <c r="K17" s="14" t="n">
        <f aca="false">Sessions!$N$8*MAX(0,MIN($C17,Sessions!$O$8)-MAX($B17,Sessions!$M$8))*24</f>
        <v>1.2</v>
      </c>
      <c r="L17" s="14" t="n">
        <f aca="false">IF(Sessions!$L$4="Yes",Sessions!$I$4*MAX(0,MIN($C17,Sessions!$K$4)-MAX($B17,Sessions!$C$4))*24,G17)</f>
        <v>2.75</v>
      </c>
      <c r="M17" s="14" t="n">
        <f aca="false">IF(Sessions!$L$5="Yes",Sessions!$I$5*MAX(0,MIN($C17,Sessions!$K$5)-MAX($B17,Sessions!$C$5))*24,H17)</f>
        <v>2.75</v>
      </c>
      <c r="N17" s="14" t="n">
        <f aca="false">IF(Sessions!$L$6="Yes",Sessions!$I$6*MAX(0,MIN($C17,Sessions!$K$6)-MAX($B17,Sessions!$C$6))*24,I17)</f>
        <v>1.85</v>
      </c>
      <c r="O17" s="14" t="n">
        <f aca="false">IF(Sessions!$L$7="Yes",Sessions!$I$7*MAX(0,MIN($C17,Sessions!$K$7)-MAX($B17,Sessions!$C$7))*24,J17)</f>
        <v>4</v>
      </c>
      <c r="P17" s="14" t="n">
        <f aca="false">IF(Sessions!$L$8="Yes",Sessions!$I$8*MAX(0,MIN($C17,Sessions!$K$8)-MAX($B17,Sessions!$C$8))*24,K17)</f>
        <v>1.2</v>
      </c>
      <c r="Q17" s="15" t="n">
        <f aca="false">SUM(G17:K17)</f>
        <v>1.2</v>
      </c>
      <c r="R17" s="15" t="n">
        <f aca="false">SUM(L17:P17)</f>
        <v>12.55</v>
      </c>
      <c r="S17" s="15" t="n">
        <f aca="false">MAX(0,F17-Q17)</f>
        <v>1</v>
      </c>
      <c r="T17" s="15" t="n">
        <f aca="false">F17/Inputs!$B$4</f>
        <v>8.8</v>
      </c>
      <c r="U17" s="15" t="n">
        <f aca="false">(S17+R17)/Inputs!$B$4</f>
        <v>54.2</v>
      </c>
      <c r="V17" s="15" t="n">
        <f aca="false">MAX(0,R17-Q17)</f>
        <v>11.35</v>
      </c>
    </row>
    <row r="18" customFormat="false" ht="15" hidden="false" customHeight="false" outlineLevel="0" collapsed="false">
      <c r="A18" s="2" t="n">
        <v>15</v>
      </c>
      <c r="B18" s="11" t="n">
        <v>46307.8125</v>
      </c>
      <c r="C18" s="13" t="n">
        <f aca="false">B18+1/96</f>
        <v>46307.8229166667</v>
      </c>
      <c r="D18" s="10" t="n">
        <v>0.32</v>
      </c>
      <c r="E18" s="10" t="n">
        <v>0.45</v>
      </c>
      <c r="F18" s="5" t="n">
        <v>2.2</v>
      </c>
      <c r="G18" s="14" t="n">
        <f aca="false">Sessions!$N$4*MAX(0,MIN($C18,Sessions!$O$4)-MAX($B18,Sessions!$M$4))*24</f>
        <v>0</v>
      </c>
      <c r="H18" s="14" t="n">
        <f aca="false">Sessions!$N$5*MAX(0,MIN($C18,Sessions!$O$5)-MAX($B18,Sessions!$M$5))*24</f>
        <v>0</v>
      </c>
      <c r="I18" s="14" t="n">
        <f aca="false">Sessions!$N$6*MAX(0,MIN($C18,Sessions!$O$6)-MAX($B18,Sessions!$M$6))*24</f>
        <v>0</v>
      </c>
      <c r="J18" s="14" t="n">
        <f aca="false">Sessions!$N$7*MAX(0,MIN($C18,Sessions!$O$7)-MAX($B18,Sessions!$M$7))*24</f>
        <v>0</v>
      </c>
      <c r="K18" s="14" t="n">
        <f aca="false">Sessions!$N$8*MAX(0,MIN($C18,Sessions!$O$8)-MAX($B18,Sessions!$M$8))*24</f>
        <v>1.2</v>
      </c>
      <c r="L18" s="14" t="n">
        <f aca="false">IF(Sessions!$L$4="Yes",Sessions!$I$4*MAX(0,MIN($C18,Sessions!$K$4)-MAX($B18,Sessions!$C$4))*24,G18)</f>
        <v>2.75</v>
      </c>
      <c r="M18" s="14" t="n">
        <f aca="false">IF(Sessions!$L$5="Yes",Sessions!$I$5*MAX(0,MIN($C18,Sessions!$K$5)-MAX($B18,Sessions!$C$5))*24,H18)</f>
        <v>2.75</v>
      </c>
      <c r="N18" s="14" t="n">
        <f aca="false">IF(Sessions!$L$6="Yes",Sessions!$I$6*MAX(0,MIN($C18,Sessions!$K$6)-MAX($B18,Sessions!$C$6))*24,I18)</f>
        <v>1.85</v>
      </c>
      <c r="O18" s="14" t="n">
        <f aca="false">IF(Sessions!$L$7="Yes",Sessions!$I$7*MAX(0,MIN($C18,Sessions!$K$7)-MAX($B18,Sessions!$C$7))*24,J18)</f>
        <v>4</v>
      </c>
      <c r="P18" s="14" t="n">
        <f aca="false">IF(Sessions!$L$8="Yes",Sessions!$I$8*MAX(0,MIN($C18,Sessions!$K$8)-MAX($B18,Sessions!$C$8))*24,K18)</f>
        <v>1.2</v>
      </c>
      <c r="Q18" s="15" t="n">
        <f aca="false">SUM(G18:K18)</f>
        <v>1.2</v>
      </c>
      <c r="R18" s="15" t="n">
        <f aca="false">SUM(L18:P18)</f>
        <v>12.55</v>
      </c>
      <c r="S18" s="15" t="n">
        <f aca="false">MAX(0,F18-Q18)</f>
        <v>1</v>
      </c>
      <c r="T18" s="15" t="n">
        <f aca="false">F18/Inputs!$B$4</f>
        <v>8.8</v>
      </c>
      <c r="U18" s="15" t="n">
        <f aca="false">(S18+R18)/Inputs!$B$4</f>
        <v>54.2</v>
      </c>
      <c r="V18" s="15" t="n">
        <f aca="false">MAX(0,R18-Q18)</f>
        <v>11.35</v>
      </c>
    </row>
    <row r="19" customFormat="false" ht="15" hidden="false" customHeight="false" outlineLevel="0" collapsed="false">
      <c r="A19" s="2" t="n">
        <v>16</v>
      </c>
      <c r="B19" s="11" t="n">
        <v>46307.8229166667</v>
      </c>
      <c r="C19" s="13" t="n">
        <f aca="false">B19+1/96</f>
        <v>46307.8333333333</v>
      </c>
      <c r="D19" s="10" t="n">
        <v>0.32</v>
      </c>
      <c r="E19" s="10" t="n">
        <v>0.45</v>
      </c>
      <c r="F19" s="5" t="n">
        <v>2.2</v>
      </c>
      <c r="G19" s="14" t="n">
        <f aca="false">Sessions!$N$4*MAX(0,MIN($C19,Sessions!$O$4)-MAX($B19,Sessions!$M$4))*24</f>
        <v>0</v>
      </c>
      <c r="H19" s="14" t="n">
        <f aca="false">Sessions!$N$5*MAX(0,MIN($C19,Sessions!$O$5)-MAX($B19,Sessions!$M$5))*24</f>
        <v>0</v>
      </c>
      <c r="I19" s="14" t="n">
        <f aca="false">Sessions!$N$6*MAX(0,MIN($C19,Sessions!$O$6)-MAX($B19,Sessions!$M$6))*24</f>
        <v>0</v>
      </c>
      <c r="J19" s="14" t="n">
        <f aca="false">Sessions!$N$7*MAX(0,MIN($C19,Sessions!$O$7)-MAX($B19,Sessions!$M$7))*24</f>
        <v>0</v>
      </c>
      <c r="K19" s="14" t="n">
        <f aca="false">Sessions!$N$8*MAX(0,MIN($C19,Sessions!$O$8)-MAX($B19,Sessions!$M$8))*24</f>
        <v>1.2</v>
      </c>
      <c r="L19" s="14" t="n">
        <f aca="false">IF(Sessions!$L$4="Yes",Sessions!$I$4*MAX(0,MIN($C19,Sessions!$K$4)-MAX($B19,Sessions!$C$4))*24,G19)</f>
        <v>2.75</v>
      </c>
      <c r="M19" s="14" t="n">
        <f aca="false">IF(Sessions!$L$5="Yes",Sessions!$I$5*MAX(0,MIN($C19,Sessions!$K$5)-MAX($B19,Sessions!$C$5))*24,H19)</f>
        <v>2.75</v>
      </c>
      <c r="N19" s="14" t="n">
        <f aca="false">IF(Sessions!$L$6="Yes",Sessions!$I$6*MAX(0,MIN($C19,Sessions!$K$6)-MAX($B19,Sessions!$C$6))*24,I19)</f>
        <v>1.85</v>
      </c>
      <c r="O19" s="14" t="n">
        <f aca="false">IF(Sessions!$L$7="Yes",Sessions!$I$7*MAX(0,MIN($C19,Sessions!$K$7)-MAX($B19,Sessions!$C$7))*24,J19)</f>
        <v>4</v>
      </c>
      <c r="P19" s="14" t="n">
        <f aca="false">IF(Sessions!$L$8="Yes",Sessions!$I$8*MAX(0,MIN($C19,Sessions!$K$8)-MAX($B19,Sessions!$C$8))*24,K19)</f>
        <v>1.2</v>
      </c>
      <c r="Q19" s="15" t="n">
        <f aca="false">SUM(G19:K19)</f>
        <v>1.2</v>
      </c>
      <c r="R19" s="15" t="n">
        <f aca="false">SUM(L19:P19)</f>
        <v>12.55</v>
      </c>
      <c r="S19" s="15" t="n">
        <f aca="false">MAX(0,F19-Q19)</f>
        <v>1</v>
      </c>
      <c r="T19" s="15" t="n">
        <f aca="false">F19/Inputs!$B$4</f>
        <v>8.8</v>
      </c>
      <c r="U19" s="15" t="n">
        <f aca="false">(S19+R19)/Inputs!$B$4</f>
        <v>54.2</v>
      </c>
      <c r="V19" s="15" t="n">
        <f aca="false">MAX(0,R19-Q19)</f>
        <v>11.35</v>
      </c>
    </row>
    <row r="20" customFormat="false" ht="15" hidden="false" customHeight="false" outlineLevel="0" collapsed="false">
      <c r="A20" s="2" t="n">
        <v>17</v>
      </c>
      <c r="B20" s="11" t="n">
        <v>46307.8333333333</v>
      </c>
      <c r="C20" s="13" t="n">
        <f aca="false">B20+1/96</f>
        <v>46307.84375</v>
      </c>
      <c r="D20" s="10" t="n">
        <v>0.32</v>
      </c>
      <c r="E20" s="10" t="n">
        <v>0.45</v>
      </c>
      <c r="F20" s="5" t="n">
        <v>3.45</v>
      </c>
      <c r="G20" s="14" t="n">
        <f aca="false">Sessions!$N$4*MAX(0,MIN($C20,Sessions!$O$4)-MAX($B20,Sessions!$M$4))*24</f>
        <v>0</v>
      </c>
      <c r="H20" s="14" t="n">
        <f aca="false">Sessions!$N$5*MAX(0,MIN($C20,Sessions!$O$5)-MAX($B20,Sessions!$M$5))*24</f>
        <v>0</v>
      </c>
      <c r="I20" s="14" t="n">
        <f aca="false">Sessions!$N$6*MAX(0,MIN($C20,Sessions!$O$6)-MAX($B20,Sessions!$M$6))*24</f>
        <v>1.25</v>
      </c>
      <c r="J20" s="14" t="n">
        <f aca="false">Sessions!$N$7*MAX(0,MIN($C20,Sessions!$O$7)-MAX($B20,Sessions!$M$7))*24</f>
        <v>0</v>
      </c>
      <c r="K20" s="14" t="n">
        <f aca="false">Sessions!$N$8*MAX(0,MIN($C20,Sessions!$O$8)-MAX($B20,Sessions!$M$8))*24</f>
        <v>1.2</v>
      </c>
      <c r="L20" s="14" t="n">
        <f aca="false">IF(Sessions!$L$4="Yes",Sessions!$I$4*MAX(0,MIN($C20,Sessions!$K$4)-MAX($B20,Sessions!$C$4))*24,G20)</f>
        <v>1.49999999668139</v>
      </c>
      <c r="M20" s="14" t="n">
        <f aca="false">IF(Sessions!$L$5="Yes",Sessions!$I$5*MAX(0,MIN($C20,Sessions!$K$5)-MAX($B20,Sessions!$C$5))*24,H20)</f>
        <v>2.00000000005667</v>
      </c>
      <c r="N20" s="14" t="n">
        <f aca="false">IF(Sessions!$L$6="Yes",Sessions!$I$6*MAX(0,MIN($C20,Sessions!$K$6)-MAX($B20,Sessions!$C$6))*24,I20)</f>
        <v>1.85</v>
      </c>
      <c r="O20" s="14" t="n">
        <f aca="false">IF(Sessions!$L$7="Yes",Sessions!$I$7*MAX(0,MIN($C20,Sessions!$K$7)-MAX($B20,Sessions!$C$7))*24,J20)</f>
        <v>4</v>
      </c>
      <c r="P20" s="14" t="n">
        <f aca="false">IF(Sessions!$L$8="Yes",Sessions!$I$8*MAX(0,MIN($C20,Sessions!$K$8)-MAX($B20,Sessions!$C$8))*24,K20)</f>
        <v>1.2</v>
      </c>
      <c r="Q20" s="15" t="n">
        <f aca="false">SUM(G20:K20)</f>
        <v>2.45</v>
      </c>
      <c r="R20" s="15" t="n">
        <f aca="false">SUM(L20:P20)</f>
        <v>10.5499999967381</v>
      </c>
      <c r="S20" s="15" t="n">
        <f aca="false">MAX(0,F20-Q20)</f>
        <v>1</v>
      </c>
      <c r="T20" s="15" t="n">
        <f aca="false">F20/Inputs!$B$4</f>
        <v>13.8</v>
      </c>
      <c r="U20" s="15" t="n">
        <f aca="false">(S20+R20)/Inputs!$B$4</f>
        <v>46.1999999869522</v>
      </c>
      <c r="V20" s="15" t="n">
        <f aca="false">MAX(0,R20-Q20)</f>
        <v>8.09999999673805</v>
      </c>
    </row>
    <row r="21" customFormat="false" ht="15" hidden="false" customHeight="false" outlineLevel="0" collapsed="false">
      <c r="A21" s="2" t="n">
        <v>18</v>
      </c>
      <c r="B21" s="11" t="n">
        <v>46307.84375</v>
      </c>
      <c r="C21" s="13" t="n">
        <f aca="false">B21+1/96</f>
        <v>46307.8541666667</v>
      </c>
      <c r="D21" s="10" t="n">
        <v>0.32</v>
      </c>
      <c r="E21" s="10" t="n">
        <v>0.45</v>
      </c>
      <c r="F21" s="5" t="n">
        <v>3.45</v>
      </c>
      <c r="G21" s="14" t="n">
        <f aca="false">Sessions!$N$4*MAX(0,MIN($C21,Sessions!$O$4)-MAX($B21,Sessions!$M$4))*24</f>
        <v>0</v>
      </c>
      <c r="H21" s="14" t="n">
        <f aca="false">Sessions!$N$5*MAX(0,MIN($C21,Sessions!$O$5)-MAX($B21,Sessions!$M$5))*24</f>
        <v>0</v>
      </c>
      <c r="I21" s="14" t="n">
        <f aca="false">Sessions!$N$6*MAX(0,MIN($C21,Sessions!$O$6)-MAX($B21,Sessions!$M$6))*24</f>
        <v>1.25</v>
      </c>
      <c r="J21" s="14" t="n">
        <f aca="false">Sessions!$N$7*MAX(0,MIN($C21,Sessions!$O$7)-MAX($B21,Sessions!$M$7))*24</f>
        <v>0</v>
      </c>
      <c r="K21" s="14" t="n">
        <f aca="false">Sessions!$N$8*MAX(0,MIN($C21,Sessions!$O$8)-MAX($B21,Sessions!$M$8))*24</f>
        <v>1.2</v>
      </c>
      <c r="L21" s="14" t="n">
        <f aca="false">IF(Sessions!$L$4="Yes",Sessions!$I$4*MAX(0,MIN($C21,Sessions!$K$4)-MAX($B21,Sessions!$C$4))*24,G21)</f>
        <v>0</v>
      </c>
      <c r="M21" s="14" t="n">
        <f aca="false">IF(Sessions!$L$5="Yes",Sessions!$I$5*MAX(0,MIN($C21,Sessions!$K$5)-MAX($B21,Sessions!$C$5))*24,H21)</f>
        <v>0</v>
      </c>
      <c r="N21" s="14" t="n">
        <f aca="false">IF(Sessions!$L$6="Yes",Sessions!$I$6*MAX(0,MIN($C21,Sessions!$K$6)-MAX($B21,Sessions!$C$6))*24,I21)</f>
        <v>1.85</v>
      </c>
      <c r="O21" s="14" t="n">
        <f aca="false">IF(Sessions!$L$7="Yes",Sessions!$I$7*MAX(0,MIN($C21,Sessions!$K$7)-MAX($B21,Sessions!$C$7))*24,J21)</f>
        <v>4</v>
      </c>
      <c r="P21" s="14" t="n">
        <f aca="false">IF(Sessions!$L$8="Yes",Sessions!$I$8*MAX(0,MIN($C21,Sessions!$K$8)-MAX($B21,Sessions!$C$8))*24,K21)</f>
        <v>1.2</v>
      </c>
      <c r="Q21" s="15" t="n">
        <f aca="false">SUM(G21:K21)</f>
        <v>2.45</v>
      </c>
      <c r="R21" s="15" t="n">
        <f aca="false">SUM(L21:P21)</f>
        <v>7.05</v>
      </c>
      <c r="S21" s="15" t="n">
        <f aca="false">MAX(0,F21-Q21)</f>
        <v>1</v>
      </c>
      <c r="T21" s="15" t="n">
        <f aca="false">F21/Inputs!$B$4</f>
        <v>13.8</v>
      </c>
      <c r="U21" s="15" t="n">
        <f aca="false">(S21+R21)/Inputs!$B$4</f>
        <v>32.2</v>
      </c>
      <c r="V21" s="15" t="n">
        <f aca="false">MAX(0,R21-Q21)</f>
        <v>4.6</v>
      </c>
    </row>
    <row r="22" customFormat="false" ht="15" hidden="false" customHeight="false" outlineLevel="0" collapsed="false">
      <c r="A22" s="2" t="n">
        <v>19</v>
      </c>
      <c r="B22" s="11" t="n">
        <v>46307.8541666667</v>
      </c>
      <c r="C22" s="13" t="n">
        <f aca="false">B22+1/96</f>
        <v>46307.8645833333</v>
      </c>
      <c r="D22" s="10" t="n">
        <v>0.32</v>
      </c>
      <c r="E22" s="10" t="n">
        <v>0.45</v>
      </c>
      <c r="F22" s="5" t="n">
        <v>3.45</v>
      </c>
      <c r="G22" s="14" t="n">
        <f aca="false">Sessions!$N$4*MAX(0,MIN($C22,Sessions!$O$4)-MAX($B22,Sessions!$M$4))*24</f>
        <v>0</v>
      </c>
      <c r="H22" s="14" t="n">
        <f aca="false">Sessions!$N$5*MAX(0,MIN($C22,Sessions!$O$5)-MAX($B22,Sessions!$M$5))*24</f>
        <v>0</v>
      </c>
      <c r="I22" s="14" t="n">
        <f aca="false">Sessions!$N$6*MAX(0,MIN($C22,Sessions!$O$6)-MAX($B22,Sessions!$M$6))*24</f>
        <v>1.25</v>
      </c>
      <c r="J22" s="14" t="n">
        <f aca="false">Sessions!$N$7*MAX(0,MIN($C22,Sessions!$O$7)-MAX($B22,Sessions!$M$7))*24</f>
        <v>0</v>
      </c>
      <c r="K22" s="14" t="n">
        <f aca="false">Sessions!$N$8*MAX(0,MIN($C22,Sessions!$O$8)-MAX($B22,Sessions!$M$8))*24</f>
        <v>1.2</v>
      </c>
      <c r="L22" s="14" t="n">
        <f aca="false">IF(Sessions!$L$4="Yes",Sessions!$I$4*MAX(0,MIN($C22,Sessions!$K$4)-MAX($B22,Sessions!$C$4))*24,G22)</f>
        <v>0</v>
      </c>
      <c r="M22" s="14" t="n">
        <f aca="false">IF(Sessions!$L$5="Yes",Sessions!$I$5*MAX(0,MIN($C22,Sessions!$K$5)-MAX($B22,Sessions!$C$5))*24,H22)</f>
        <v>0</v>
      </c>
      <c r="N22" s="14" t="n">
        <f aca="false">IF(Sessions!$L$6="Yes",Sessions!$I$6*MAX(0,MIN($C22,Sessions!$K$6)-MAX($B22,Sessions!$C$6))*24,I22)</f>
        <v>1.85</v>
      </c>
      <c r="O22" s="14" t="n">
        <f aca="false">IF(Sessions!$L$7="Yes",Sessions!$I$7*MAX(0,MIN($C22,Sessions!$K$7)-MAX($B22,Sessions!$C$7))*24,J22)</f>
        <v>4</v>
      </c>
      <c r="P22" s="14" t="n">
        <f aca="false">IF(Sessions!$L$8="Yes",Sessions!$I$8*MAX(0,MIN($C22,Sessions!$K$8)-MAX($B22,Sessions!$C$8))*24,K22)</f>
        <v>1.2</v>
      </c>
      <c r="Q22" s="15" t="n">
        <f aca="false">SUM(G22:K22)</f>
        <v>2.45</v>
      </c>
      <c r="R22" s="15" t="n">
        <f aca="false">SUM(L22:P22)</f>
        <v>7.05</v>
      </c>
      <c r="S22" s="15" t="n">
        <f aca="false">MAX(0,F22-Q22)</f>
        <v>1</v>
      </c>
      <c r="T22" s="15" t="n">
        <f aca="false">F22/Inputs!$B$4</f>
        <v>13.8</v>
      </c>
      <c r="U22" s="15" t="n">
        <f aca="false">(S22+R22)/Inputs!$B$4</f>
        <v>32.2</v>
      </c>
      <c r="V22" s="15" t="n">
        <f aca="false">MAX(0,R22-Q22)</f>
        <v>4.6</v>
      </c>
    </row>
    <row r="23" customFormat="false" ht="15" hidden="false" customHeight="false" outlineLevel="0" collapsed="false">
      <c r="A23" s="2" t="n">
        <v>20</v>
      </c>
      <c r="B23" s="11" t="n">
        <v>46307.8645833333</v>
      </c>
      <c r="C23" s="13" t="n">
        <f aca="false">B23+1/96</f>
        <v>46307.875</v>
      </c>
      <c r="D23" s="10" t="n">
        <v>0.32</v>
      </c>
      <c r="E23" s="10" t="n">
        <v>0.45</v>
      </c>
      <c r="F23" s="5" t="n">
        <v>3.45</v>
      </c>
      <c r="G23" s="14" t="n">
        <f aca="false">Sessions!$N$4*MAX(0,MIN($C23,Sessions!$O$4)-MAX($B23,Sessions!$M$4))*24</f>
        <v>0</v>
      </c>
      <c r="H23" s="14" t="n">
        <f aca="false">Sessions!$N$5*MAX(0,MIN($C23,Sessions!$O$5)-MAX($B23,Sessions!$M$5))*24</f>
        <v>0</v>
      </c>
      <c r="I23" s="14" t="n">
        <f aca="false">Sessions!$N$6*MAX(0,MIN($C23,Sessions!$O$6)-MAX($B23,Sessions!$M$6))*24</f>
        <v>1.25</v>
      </c>
      <c r="J23" s="14" t="n">
        <f aca="false">Sessions!$N$7*MAX(0,MIN($C23,Sessions!$O$7)-MAX($B23,Sessions!$M$7))*24</f>
        <v>0</v>
      </c>
      <c r="K23" s="14" t="n">
        <f aca="false">Sessions!$N$8*MAX(0,MIN($C23,Sessions!$O$8)-MAX($B23,Sessions!$M$8))*24</f>
        <v>1.2</v>
      </c>
      <c r="L23" s="14" t="n">
        <f aca="false">IF(Sessions!$L$4="Yes",Sessions!$I$4*MAX(0,MIN($C23,Sessions!$K$4)-MAX($B23,Sessions!$C$4))*24,G23)</f>
        <v>0</v>
      </c>
      <c r="M23" s="14" t="n">
        <f aca="false">IF(Sessions!$L$5="Yes",Sessions!$I$5*MAX(0,MIN($C23,Sessions!$K$5)-MAX($B23,Sessions!$C$5))*24,H23)</f>
        <v>0</v>
      </c>
      <c r="N23" s="14" t="n">
        <f aca="false">IF(Sessions!$L$6="Yes",Sessions!$I$6*MAX(0,MIN($C23,Sessions!$K$6)-MAX($B23,Sessions!$C$6))*24,I23)</f>
        <v>1.85</v>
      </c>
      <c r="O23" s="14" t="n">
        <f aca="false">IF(Sessions!$L$7="Yes",Sessions!$I$7*MAX(0,MIN($C23,Sessions!$K$7)-MAX($B23,Sessions!$C$7))*24,J23)</f>
        <v>1</v>
      </c>
      <c r="P23" s="14" t="n">
        <f aca="false">IF(Sessions!$L$8="Yes",Sessions!$I$8*MAX(0,MIN($C23,Sessions!$K$8)-MAX($B23,Sessions!$C$8))*24,K23)</f>
        <v>1.2</v>
      </c>
      <c r="Q23" s="15" t="n">
        <f aca="false">SUM(G23:K23)</f>
        <v>2.45</v>
      </c>
      <c r="R23" s="15" t="n">
        <f aca="false">SUM(L23:P23)</f>
        <v>4.05</v>
      </c>
      <c r="S23" s="15" t="n">
        <f aca="false">MAX(0,F23-Q23)</f>
        <v>1</v>
      </c>
      <c r="T23" s="15" t="n">
        <f aca="false">F23/Inputs!$B$4</f>
        <v>13.8</v>
      </c>
      <c r="U23" s="15" t="n">
        <f aca="false">(S23+R23)/Inputs!$B$4</f>
        <v>20.2</v>
      </c>
      <c r="V23" s="15" t="n">
        <f aca="false">MAX(0,R23-Q23)</f>
        <v>1.6</v>
      </c>
    </row>
    <row r="24" customFormat="false" ht="15" hidden="false" customHeight="false" outlineLevel="0" collapsed="false">
      <c r="A24" s="2" t="n">
        <v>21</v>
      </c>
      <c r="B24" s="11" t="n">
        <v>46307.875</v>
      </c>
      <c r="C24" s="13" t="n">
        <f aca="false">B24+1/96</f>
        <v>46307.8854166667</v>
      </c>
      <c r="D24" s="10" t="n">
        <v>0.24</v>
      </c>
      <c r="E24" s="10" t="n">
        <v>0.38</v>
      </c>
      <c r="F24" s="5" t="n">
        <v>3.45</v>
      </c>
      <c r="G24" s="14" t="n">
        <f aca="false">Sessions!$N$4*MAX(0,MIN($C24,Sessions!$O$4)-MAX($B24,Sessions!$M$4))*24</f>
        <v>0</v>
      </c>
      <c r="H24" s="14" t="n">
        <f aca="false">Sessions!$N$5*MAX(0,MIN($C24,Sessions!$O$5)-MAX($B24,Sessions!$M$5))*24</f>
        <v>0</v>
      </c>
      <c r="I24" s="14" t="n">
        <f aca="false">Sessions!$N$6*MAX(0,MIN($C24,Sessions!$O$6)-MAX($B24,Sessions!$M$6))*24</f>
        <v>1.25</v>
      </c>
      <c r="J24" s="14" t="n">
        <f aca="false">Sessions!$N$7*MAX(0,MIN($C24,Sessions!$O$7)-MAX($B24,Sessions!$M$7))*24</f>
        <v>0</v>
      </c>
      <c r="K24" s="14" t="n">
        <f aca="false">Sessions!$N$8*MAX(0,MIN($C24,Sessions!$O$8)-MAX($B24,Sessions!$M$8))*24</f>
        <v>1.2</v>
      </c>
      <c r="L24" s="14" t="n">
        <f aca="false">IF(Sessions!$L$4="Yes",Sessions!$I$4*MAX(0,MIN($C24,Sessions!$K$4)-MAX($B24,Sessions!$C$4))*24,G24)</f>
        <v>0</v>
      </c>
      <c r="M24" s="14" t="n">
        <f aca="false">IF(Sessions!$L$5="Yes",Sessions!$I$5*MAX(0,MIN($C24,Sessions!$K$5)-MAX($B24,Sessions!$C$5))*24,H24)</f>
        <v>0</v>
      </c>
      <c r="N24" s="14" t="n">
        <f aca="false">IF(Sessions!$L$6="Yes",Sessions!$I$6*MAX(0,MIN($C24,Sessions!$K$6)-MAX($B24,Sessions!$C$6))*24,I24)</f>
        <v>1.85</v>
      </c>
      <c r="O24" s="14" t="n">
        <f aca="false">IF(Sessions!$L$7="Yes",Sessions!$I$7*MAX(0,MIN($C24,Sessions!$K$7)-MAX($B24,Sessions!$C$7))*24,J24)</f>
        <v>0</v>
      </c>
      <c r="P24" s="14" t="n">
        <f aca="false">IF(Sessions!$L$8="Yes",Sessions!$I$8*MAX(0,MIN($C24,Sessions!$K$8)-MAX($B24,Sessions!$C$8))*24,K24)</f>
        <v>1.2</v>
      </c>
      <c r="Q24" s="15" t="n">
        <f aca="false">SUM(G24:K24)</f>
        <v>2.45</v>
      </c>
      <c r="R24" s="15" t="n">
        <f aca="false">SUM(L24:P24)</f>
        <v>3.05</v>
      </c>
      <c r="S24" s="15" t="n">
        <f aca="false">MAX(0,F24-Q24)</f>
        <v>1</v>
      </c>
      <c r="T24" s="15" t="n">
        <f aca="false">F24/Inputs!$B$4</f>
        <v>13.8</v>
      </c>
      <c r="U24" s="15" t="n">
        <f aca="false">(S24+R24)/Inputs!$B$4</f>
        <v>16.2</v>
      </c>
      <c r="V24" s="15" t="n">
        <f aca="false">MAX(0,R24-Q24)</f>
        <v>0.6</v>
      </c>
    </row>
    <row r="25" customFormat="false" ht="15" hidden="false" customHeight="false" outlineLevel="0" collapsed="false">
      <c r="A25" s="2" t="n">
        <v>22</v>
      </c>
      <c r="B25" s="11" t="n">
        <v>46307.8854166667</v>
      </c>
      <c r="C25" s="13" t="n">
        <f aca="false">B25+1/96</f>
        <v>46307.8958333333</v>
      </c>
      <c r="D25" s="10" t="n">
        <v>0.24</v>
      </c>
      <c r="E25" s="10" t="n">
        <v>0.38</v>
      </c>
      <c r="F25" s="5" t="n">
        <v>3.45</v>
      </c>
      <c r="G25" s="14" t="n">
        <f aca="false">Sessions!$N$4*MAX(0,MIN($C25,Sessions!$O$4)-MAX($B25,Sessions!$M$4))*24</f>
        <v>0</v>
      </c>
      <c r="H25" s="14" t="n">
        <f aca="false">Sessions!$N$5*MAX(0,MIN($C25,Sessions!$O$5)-MAX($B25,Sessions!$M$5))*24</f>
        <v>0</v>
      </c>
      <c r="I25" s="14" t="n">
        <f aca="false">Sessions!$N$6*MAX(0,MIN($C25,Sessions!$O$6)-MAX($B25,Sessions!$M$6))*24</f>
        <v>1.25</v>
      </c>
      <c r="J25" s="14" t="n">
        <f aca="false">Sessions!$N$7*MAX(0,MIN($C25,Sessions!$O$7)-MAX($B25,Sessions!$M$7))*24</f>
        <v>0</v>
      </c>
      <c r="K25" s="14" t="n">
        <f aca="false">Sessions!$N$8*MAX(0,MIN($C25,Sessions!$O$8)-MAX($B25,Sessions!$M$8))*24</f>
        <v>1.2</v>
      </c>
      <c r="L25" s="14" t="n">
        <f aca="false">IF(Sessions!$L$4="Yes",Sessions!$I$4*MAX(0,MIN($C25,Sessions!$K$4)-MAX($B25,Sessions!$C$4))*24,G25)</f>
        <v>0</v>
      </c>
      <c r="M25" s="14" t="n">
        <f aca="false">IF(Sessions!$L$5="Yes",Sessions!$I$5*MAX(0,MIN($C25,Sessions!$K$5)-MAX($B25,Sessions!$C$5))*24,H25)</f>
        <v>0</v>
      </c>
      <c r="N25" s="14" t="n">
        <f aca="false">IF(Sessions!$L$6="Yes",Sessions!$I$6*MAX(0,MIN($C25,Sessions!$K$6)-MAX($B25,Sessions!$C$6))*24,I25)</f>
        <v>0.400000001931</v>
      </c>
      <c r="O25" s="14" t="n">
        <f aca="false">IF(Sessions!$L$7="Yes",Sessions!$I$7*MAX(0,MIN($C25,Sessions!$K$7)-MAX($B25,Sessions!$C$7))*24,J25)</f>
        <v>0</v>
      </c>
      <c r="P25" s="14" t="n">
        <f aca="false">IF(Sessions!$L$8="Yes",Sessions!$I$8*MAX(0,MIN($C25,Sessions!$K$8)-MAX($B25,Sessions!$C$8))*24,K25)</f>
        <v>1.2</v>
      </c>
      <c r="Q25" s="15" t="n">
        <f aca="false">SUM(G25:K25)</f>
        <v>2.45</v>
      </c>
      <c r="R25" s="15" t="n">
        <f aca="false">SUM(L25:P25)</f>
        <v>1.600000001931</v>
      </c>
      <c r="S25" s="15" t="n">
        <f aca="false">MAX(0,F25-Q25)</f>
        <v>1</v>
      </c>
      <c r="T25" s="15" t="n">
        <f aca="false">F25/Inputs!$B$4</f>
        <v>13.8</v>
      </c>
      <c r="U25" s="15" t="n">
        <f aca="false">(S25+R25)/Inputs!$B$4</f>
        <v>10.400000007724</v>
      </c>
      <c r="V25" s="15" t="n">
        <f aca="false">MAX(0,R25-Q25)</f>
        <v>0</v>
      </c>
    </row>
    <row r="26" customFormat="false" ht="15" hidden="false" customHeight="false" outlineLevel="0" collapsed="false">
      <c r="A26" s="2" t="n">
        <v>23</v>
      </c>
      <c r="B26" s="11" t="n">
        <v>46307.8958333333</v>
      </c>
      <c r="C26" s="13" t="n">
        <f aca="false">B26+1/96</f>
        <v>46307.90625</v>
      </c>
      <c r="D26" s="10" t="n">
        <v>0.24</v>
      </c>
      <c r="E26" s="10" t="n">
        <v>0.38</v>
      </c>
      <c r="F26" s="5" t="n">
        <v>2.25</v>
      </c>
      <c r="G26" s="14" t="n">
        <f aca="false">Sessions!$N$4*MAX(0,MIN($C26,Sessions!$O$4)-MAX($B26,Sessions!$M$4))*24</f>
        <v>0</v>
      </c>
      <c r="H26" s="14" t="n">
        <f aca="false">Sessions!$N$5*MAX(0,MIN($C26,Sessions!$O$5)-MAX($B26,Sessions!$M$5))*24</f>
        <v>0</v>
      </c>
      <c r="I26" s="14" t="n">
        <f aca="false">Sessions!$N$6*MAX(0,MIN($C26,Sessions!$O$6)-MAX($B26,Sessions!$M$6))*24</f>
        <v>1.25</v>
      </c>
      <c r="J26" s="14" t="n">
        <f aca="false">Sessions!$N$7*MAX(0,MIN($C26,Sessions!$O$7)-MAX($B26,Sessions!$M$7))*24</f>
        <v>0</v>
      </c>
      <c r="K26" s="14" t="n">
        <f aca="false">Sessions!$N$8*MAX(0,MIN($C26,Sessions!$O$8)-MAX($B26,Sessions!$M$8))*24</f>
        <v>0</v>
      </c>
      <c r="L26" s="14" t="n">
        <f aca="false">IF(Sessions!$L$4="Yes",Sessions!$I$4*MAX(0,MIN($C26,Sessions!$K$4)-MAX($B26,Sessions!$C$4))*24,G26)</f>
        <v>0</v>
      </c>
      <c r="M26" s="14" t="n">
        <f aca="false">IF(Sessions!$L$5="Yes",Sessions!$I$5*MAX(0,MIN($C26,Sessions!$K$5)-MAX($B26,Sessions!$C$5))*24,H26)</f>
        <v>0</v>
      </c>
      <c r="N26" s="14" t="n">
        <f aca="false">IF(Sessions!$L$6="Yes",Sessions!$I$6*MAX(0,MIN($C26,Sessions!$K$6)-MAX($B26,Sessions!$C$6))*24,I26)</f>
        <v>0</v>
      </c>
      <c r="O26" s="14" t="n">
        <f aca="false">IF(Sessions!$L$7="Yes",Sessions!$I$7*MAX(0,MIN($C26,Sessions!$K$7)-MAX($B26,Sessions!$C$7))*24,J26)</f>
        <v>0</v>
      </c>
      <c r="P26" s="14" t="n">
        <f aca="false">IF(Sessions!$L$8="Yes",Sessions!$I$8*MAX(0,MIN($C26,Sessions!$K$8)-MAX($B26,Sessions!$C$8))*24,K26)</f>
        <v>0</v>
      </c>
      <c r="Q26" s="15" t="n">
        <f aca="false">SUM(G26:K26)</f>
        <v>1.25</v>
      </c>
      <c r="R26" s="15" t="n">
        <f aca="false">SUM(L26:P26)</f>
        <v>0</v>
      </c>
      <c r="S26" s="15" t="n">
        <f aca="false">MAX(0,F26-Q26)</f>
        <v>1</v>
      </c>
      <c r="T26" s="15" t="n">
        <f aca="false">F26/Inputs!$B$4</f>
        <v>9</v>
      </c>
      <c r="U26" s="15" t="n">
        <f aca="false">(S26+R26)/Inputs!$B$4</f>
        <v>4</v>
      </c>
      <c r="V26" s="15" t="n">
        <f aca="false">MAX(0,R26-Q26)</f>
        <v>0</v>
      </c>
    </row>
    <row r="27" customFormat="false" ht="15" hidden="false" customHeight="false" outlineLevel="0" collapsed="false">
      <c r="A27" s="2" t="n">
        <v>24</v>
      </c>
      <c r="B27" s="11" t="n">
        <v>46307.90625</v>
      </c>
      <c r="C27" s="13" t="n">
        <f aca="false">B27+1/96</f>
        <v>46307.9166666667</v>
      </c>
      <c r="D27" s="10" t="n">
        <v>0.24</v>
      </c>
      <c r="E27" s="10" t="n">
        <v>0.38</v>
      </c>
      <c r="F27" s="5" t="n">
        <v>2.25</v>
      </c>
      <c r="G27" s="14" t="n">
        <f aca="false">Sessions!$N$4*MAX(0,MIN($C27,Sessions!$O$4)-MAX($B27,Sessions!$M$4))*24</f>
        <v>0</v>
      </c>
      <c r="H27" s="14" t="n">
        <f aca="false">Sessions!$N$5*MAX(0,MIN($C27,Sessions!$O$5)-MAX($B27,Sessions!$M$5))*24</f>
        <v>0</v>
      </c>
      <c r="I27" s="14" t="n">
        <f aca="false">Sessions!$N$6*MAX(0,MIN($C27,Sessions!$O$6)-MAX($B27,Sessions!$M$6))*24</f>
        <v>1.25</v>
      </c>
      <c r="J27" s="14" t="n">
        <f aca="false">Sessions!$N$7*MAX(0,MIN($C27,Sessions!$O$7)-MAX($B27,Sessions!$M$7))*24</f>
        <v>0</v>
      </c>
      <c r="K27" s="14" t="n">
        <f aca="false">Sessions!$N$8*MAX(0,MIN($C27,Sessions!$O$8)-MAX($B27,Sessions!$M$8))*24</f>
        <v>0</v>
      </c>
      <c r="L27" s="14" t="n">
        <f aca="false">IF(Sessions!$L$4="Yes",Sessions!$I$4*MAX(0,MIN($C27,Sessions!$K$4)-MAX($B27,Sessions!$C$4))*24,G27)</f>
        <v>0</v>
      </c>
      <c r="M27" s="14" t="n">
        <f aca="false">IF(Sessions!$L$5="Yes",Sessions!$I$5*MAX(0,MIN($C27,Sessions!$K$5)-MAX($B27,Sessions!$C$5))*24,H27)</f>
        <v>0</v>
      </c>
      <c r="N27" s="14" t="n">
        <f aca="false">IF(Sessions!$L$6="Yes",Sessions!$I$6*MAX(0,MIN($C27,Sessions!$K$6)-MAX($B27,Sessions!$C$6))*24,I27)</f>
        <v>0</v>
      </c>
      <c r="O27" s="14" t="n">
        <f aca="false">IF(Sessions!$L$7="Yes",Sessions!$I$7*MAX(0,MIN($C27,Sessions!$K$7)-MAX($B27,Sessions!$C$7))*24,J27)</f>
        <v>0</v>
      </c>
      <c r="P27" s="14" t="n">
        <f aca="false">IF(Sessions!$L$8="Yes",Sessions!$I$8*MAX(0,MIN($C27,Sessions!$K$8)-MAX($B27,Sessions!$C$8))*24,K27)</f>
        <v>0</v>
      </c>
      <c r="Q27" s="15" t="n">
        <f aca="false">SUM(G27:K27)</f>
        <v>1.25</v>
      </c>
      <c r="R27" s="15" t="n">
        <f aca="false">SUM(L27:P27)</f>
        <v>0</v>
      </c>
      <c r="S27" s="15" t="n">
        <f aca="false">MAX(0,F27-Q27)</f>
        <v>1</v>
      </c>
      <c r="T27" s="15" t="n">
        <f aca="false">F27/Inputs!$B$4</f>
        <v>9</v>
      </c>
      <c r="U27" s="15" t="n">
        <f aca="false">(S27+R27)/Inputs!$B$4</f>
        <v>4</v>
      </c>
      <c r="V27" s="15" t="n">
        <f aca="false">MAX(0,R27-Q27)</f>
        <v>0</v>
      </c>
    </row>
    <row r="28" customFormat="false" ht="15" hidden="false" customHeight="false" outlineLevel="0" collapsed="false">
      <c r="A28" s="2" t="n">
        <v>25</v>
      </c>
      <c r="B28" s="11" t="n">
        <v>46307.9166666667</v>
      </c>
      <c r="C28" s="13" t="n">
        <f aca="false">B28+1/96</f>
        <v>46307.9270833333</v>
      </c>
      <c r="D28" s="10" t="n">
        <v>0.24</v>
      </c>
      <c r="E28" s="10" t="n">
        <v>0.38</v>
      </c>
      <c r="F28" s="5" t="n">
        <v>3.5</v>
      </c>
      <c r="G28" s="14" t="n">
        <f aca="false">Sessions!$N$4*MAX(0,MIN($C28,Sessions!$O$4)-MAX($B28,Sessions!$M$4))*24</f>
        <v>1.5</v>
      </c>
      <c r="H28" s="14" t="n">
        <f aca="false">Sessions!$N$5*MAX(0,MIN($C28,Sessions!$O$5)-MAX($B28,Sessions!$M$5))*24</f>
        <v>0</v>
      </c>
      <c r="I28" s="14" t="n">
        <f aca="false">Sessions!$N$6*MAX(0,MIN($C28,Sessions!$O$6)-MAX($B28,Sessions!$M$6))*24</f>
        <v>1.25</v>
      </c>
      <c r="J28" s="14" t="n">
        <f aca="false">Sessions!$N$7*MAX(0,MIN($C28,Sessions!$O$7)-MAX($B28,Sessions!$M$7))*24</f>
        <v>0</v>
      </c>
      <c r="K28" s="14" t="n">
        <f aca="false">Sessions!$N$8*MAX(0,MIN($C28,Sessions!$O$8)-MAX($B28,Sessions!$M$8))*24</f>
        <v>0</v>
      </c>
      <c r="L28" s="14" t="n">
        <f aca="false">IF(Sessions!$L$4="Yes",Sessions!$I$4*MAX(0,MIN($C28,Sessions!$K$4)-MAX($B28,Sessions!$C$4))*24,G28)</f>
        <v>0</v>
      </c>
      <c r="M28" s="14" t="n">
        <f aca="false">IF(Sessions!$L$5="Yes",Sessions!$I$5*MAX(0,MIN($C28,Sessions!$K$5)-MAX($B28,Sessions!$C$5))*24,H28)</f>
        <v>0</v>
      </c>
      <c r="N28" s="14" t="n">
        <f aca="false">IF(Sessions!$L$6="Yes",Sessions!$I$6*MAX(0,MIN($C28,Sessions!$K$6)-MAX($B28,Sessions!$C$6))*24,I28)</f>
        <v>0</v>
      </c>
      <c r="O28" s="14" t="n">
        <f aca="false">IF(Sessions!$L$7="Yes",Sessions!$I$7*MAX(0,MIN($C28,Sessions!$K$7)-MAX($B28,Sessions!$C$7))*24,J28)</f>
        <v>0</v>
      </c>
      <c r="P28" s="14" t="n">
        <f aca="false">IF(Sessions!$L$8="Yes",Sessions!$I$8*MAX(0,MIN($C28,Sessions!$K$8)-MAX($B28,Sessions!$C$8))*24,K28)</f>
        <v>0</v>
      </c>
      <c r="Q28" s="15" t="n">
        <f aca="false">SUM(G28:K28)</f>
        <v>2.75</v>
      </c>
      <c r="R28" s="15" t="n">
        <f aca="false">SUM(L28:P28)</f>
        <v>0</v>
      </c>
      <c r="S28" s="15" t="n">
        <f aca="false">MAX(0,F28-Q28)</f>
        <v>0.75</v>
      </c>
      <c r="T28" s="15" t="n">
        <f aca="false">F28/Inputs!$B$4</f>
        <v>14</v>
      </c>
      <c r="U28" s="15" t="n">
        <f aca="false">(S28+R28)/Inputs!$B$4</f>
        <v>3</v>
      </c>
      <c r="V28" s="15" t="n">
        <f aca="false">MAX(0,R28-Q28)</f>
        <v>0</v>
      </c>
    </row>
    <row r="29" customFormat="false" ht="15" hidden="false" customHeight="false" outlineLevel="0" collapsed="false">
      <c r="A29" s="2" t="n">
        <v>26</v>
      </c>
      <c r="B29" s="11" t="n">
        <v>46307.9270833333</v>
      </c>
      <c r="C29" s="13" t="n">
        <f aca="false">B29+1/96</f>
        <v>46307.9375</v>
      </c>
      <c r="D29" s="10" t="n">
        <v>0.24</v>
      </c>
      <c r="E29" s="10" t="n">
        <v>0.38</v>
      </c>
      <c r="F29" s="5" t="n">
        <v>3.5</v>
      </c>
      <c r="G29" s="14" t="n">
        <f aca="false">Sessions!$N$4*MAX(0,MIN($C29,Sessions!$O$4)-MAX($B29,Sessions!$M$4))*24</f>
        <v>1.5</v>
      </c>
      <c r="H29" s="14" t="n">
        <f aca="false">Sessions!$N$5*MAX(0,MIN($C29,Sessions!$O$5)-MAX($B29,Sessions!$M$5))*24</f>
        <v>0</v>
      </c>
      <c r="I29" s="14" t="n">
        <f aca="false">Sessions!$N$6*MAX(0,MIN($C29,Sessions!$O$6)-MAX($B29,Sessions!$M$6))*24</f>
        <v>1.25</v>
      </c>
      <c r="J29" s="14" t="n">
        <f aca="false">Sessions!$N$7*MAX(0,MIN($C29,Sessions!$O$7)-MAX($B29,Sessions!$M$7))*24</f>
        <v>0</v>
      </c>
      <c r="K29" s="14" t="n">
        <f aca="false">Sessions!$N$8*MAX(0,MIN($C29,Sessions!$O$8)-MAX($B29,Sessions!$M$8))*24</f>
        <v>0</v>
      </c>
      <c r="L29" s="14" t="n">
        <f aca="false">IF(Sessions!$L$4="Yes",Sessions!$I$4*MAX(0,MIN($C29,Sessions!$K$4)-MAX($B29,Sessions!$C$4))*24,G29)</f>
        <v>0</v>
      </c>
      <c r="M29" s="14" t="n">
        <f aca="false">IF(Sessions!$L$5="Yes",Sessions!$I$5*MAX(0,MIN($C29,Sessions!$K$5)-MAX($B29,Sessions!$C$5))*24,H29)</f>
        <v>0</v>
      </c>
      <c r="N29" s="14" t="n">
        <f aca="false">IF(Sessions!$L$6="Yes",Sessions!$I$6*MAX(0,MIN($C29,Sessions!$K$6)-MAX($B29,Sessions!$C$6))*24,I29)</f>
        <v>0</v>
      </c>
      <c r="O29" s="14" t="n">
        <f aca="false">IF(Sessions!$L$7="Yes",Sessions!$I$7*MAX(0,MIN($C29,Sessions!$K$7)-MAX($B29,Sessions!$C$7))*24,J29)</f>
        <v>0</v>
      </c>
      <c r="P29" s="14" t="n">
        <f aca="false">IF(Sessions!$L$8="Yes",Sessions!$I$8*MAX(0,MIN($C29,Sessions!$K$8)-MAX($B29,Sessions!$C$8))*24,K29)</f>
        <v>0</v>
      </c>
      <c r="Q29" s="15" t="n">
        <f aca="false">SUM(G29:K29)</f>
        <v>2.75</v>
      </c>
      <c r="R29" s="15" t="n">
        <f aca="false">SUM(L29:P29)</f>
        <v>0</v>
      </c>
      <c r="S29" s="15" t="n">
        <f aca="false">MAX(0,F29-Q29)</f>
        <v>0.75</v>
      </c>
      <c r="T29" s="15" t="n">
        <f aca="false">F29/Inputs!$B$4</f>
        <v>14</v>
      </c>
      <c r="U29" s="15" t="n">
        <f aca="false">(S29+R29)/Inputs!$B$4</f>
        <v>3</v>
      </c>
      <c r="V29" s="15" t="n">
        <f aca="false">MAX(0,R29-Q29)</f>
        <v>0</v>
      </c>
    </row>
    <row r="30" customFormat="false" ht="15" hidden="false" customHeight="false" outlineLevel="0" collapsed="false">
      <c r="A30" s="2" t="n">
        <v>27</v>
      </c>
      <c r="B30" s="11" t="n">
        <v>46307.9375</v>
      </c>
      <c r="C30" s="13" t="n">
        <f aca="false">B30+1/96</f>
        <v>46307.9479166667</v>
      </c>
      <c r="D30" s="10" t="n">
        <v>0.24</v>
      </c>
      <c r="E30" s="10" t="n">
        <v>0.38</v>
      </c>
      <c r="F30" s="5" t="n">
        <v>3.5</v>
      </c>
      <c r="G30" s="14" t="n">
        <f aca="false">Sessions!$N$4*MAX(0,MIN($C30,Sessions!$O$4)-MAX($B30,Sessions!$M$4))*24</f>
        <v>1.5</v>
      </c>
      <c r="H30" s="14" t="n">
        <f aca="false">Sessions!$N$5*MAX(0,MIN($C30,Sessions!$O$5)-MAX($B30,Sessions!$M$5))*24</f>
        <v>0</v>
      </c>
      <c r="I30" s="14" t="n">
        <f aca="false">Sessions!$N$6*MAX(0,MIN($C30,Sessions!$O$6)-MAX($B30,Sessions!$M$6))*24</f>
        <v>1.25</v>
      </c>
      <c r="J30" s="14" t="n">
        <f aca="false">Sessions!$N$7*MAX(0,MIN($C30,Sessions!$O$7)-MAX($B30,Sessions!$M$7))*24</f>
        <v>0</v>
      </c>
      <c r="K30" s="14" t="n">
        <f aca="false">Sessions!$N$8*MAX(0,MIN($C30,Sessions!$O$8)-MAX($B30,Sessions!$M$8))*24</f>
        <v>0</v>
      </c>
      <c r="L30" s="14" t="n">
        <f aca="false">IF(Sessions!$L$4="Yes",Sessions!$I$4*MAX(0,MIN($C30,Sessions!$K$4)-MAX($B30,Sessions!$C$4))*24,G30)</f>
        <v>0</v>
      </c>
      <c r="M30" s="14" t="n">
        <f aca="false">IF(Sessions!$L$5="Yes",Sessions!$I$5*MAX(0,MIN($C30,Sessions!$K$5)-MAX($B30,Sessions!$C$5))*24,H30)</f>
        <v>0</v>
      </c>
      <c r="N30" s="14" t="n">
        <f aca="false">IF(Sessions!$L$6="Yes",Sessions!$I$6*MAX(0,MIN($C30,Sessions!$K$6)-MAX($B30,Sessions!$C$6))*24,I30)</f>
        <v>0</v>
      </c>
      <c r="O30" s="14" t="n">
        <f aca="false">IF(Sessions!$L$7="Yes",Sessions!$I$7*MAX(0,MIN($C30,Sessions!$K$7)-MAX($B30,Sessions!$C$7))*24,J30)</f>
        <v>0</v>
      </c>
      <c r="P30" s="14" t="n">
        <f aca="false">IF(Sessions!$L$8="Yes",Sessions!$I$8*MAX(0,MIN($C30,Sessions!$K$8)-MAX($B30,Sessions!$C$8))*24,K30)</f>
        <v>0</v>
      </c>
      <c r="Q30" s="15" t="n">
        <f aca="false">SUM(G30:K30)</f>
        <v>2.75</v>
      </c>
      <c r="R30" s="15" t="n">
        <f aca="false">SUM(L30:P30)</f>
        <v>0</v>
      </c>
      <c r="S30" s="15" t="n">
        <f aca="false">MAX(0,F30-Q30)</f>
        <v>0.75</v>
      </c>
      <c r="T30" s="15" t="n">
        <f aca="false">F30/Inputs!$B$4</f>
        <v>14</v>
      </c>
      <c r="U30" s="15" t="n">
        <f aca="false">(S30+R30)/Inputs!$B$4</f>
        <v>3</v>
      </c>
      <c r="V30" s="15" t="n">
        <f aca="false">MAX(0,R30-Q30)</f>
        <v>0</v>
      </c>
    </row>
    <row r="31" customFormat="false" ht="15" hidden="false" customHeight="false" outlineLevel="0" collapsed="false">
      <c r="A31" s="2" t="n">
        <v>28</v>
      </c>
      <c r="B31" s="11" t="n">
        <v>46307.9479166667</v>
      </c>
      <c r="C31" s="13" t="n">
        <f aca="false">B31+1/96</f>
        <v>46307.9583333333</v>
      </c>
      <c r="D31" s="10" t="n">
        <v>0.24</v>
      </c>
      <c r="E31" s="10" t="n">
        <v>0.38</v>
      </c>
      <c r="F31" s="5" t="n">
        <v>3.5</v>
      </c>
      <c r="G31" s="14" t="n">
        <f aca="false">Sessions!$N$4*MAX(0,MIN($C31,Sessions!$O$4)-MAX($B31,Sessions!$M$4))*24</f>
        <v>1.5</v>
      </c>
      <c r="H31" s="14" t="n">
        <f aca="false">Sessions!$N$5*MAX(0,MIN($C31,Sessions!$O$5)-MAX($B31,Sessions!$M$5))*24</f>
        <v>0</v>
      </c>
      <c r="I31" s="14" t="n">
        <f aca="false">Sessions!$N$6*MAX(0,MIN($C31,Sessions!$O$6)-MAX($B31,Sessions!$M$6))*24</f>
        <v>1.25</v>
      </c>
      <c r="J31" s="14" t="n">
        <f aca="false">Sessions!$N$7*MAX(0,MIN($C31,Sessions!$O$7)-MAX($B31,Sessions!$M$7))*24</f>
        <v>0</v>
      </c>
      <c r="K31" s="14" t="n">
        <f aca="false">Sessions!$N$8*MAX(0,MIN($C31,Sessions!$O$8)-MAX($B31,Sessions!$M$8))*24</f>
        <v>0</v>
      </c>
      <c r="L31" s="14" t="n">
        <f aca="false">IF(Sessions!$L$4="Yes",Sessions!$I$4*MAX(0,MIN($C31,Sessions!$K$4)-MAX($B31,Sessions!$C$4))*24,G31)</f>
        <v>0</v>
      </c>
      <c r="M31" s="14" t="n">
        <f aca="false">IF(Sessions!$L$5="Yes",Sessions!$I$5*MAX(0,MIN($C31,Sessions!$K$5)-MAX($B31,Sessions!$C$5))*24,H31)</f>
        <v>0</v>
      </c>
      <c r="N31" s="14" t="n">
        <f aca="false">IF(Sessions!$L$6="Yes",Sessions!$I$6*MAX(0,MIN($C31,Sessions!$K$6)-MAX($B31,Sessions!$C$6))*24,I31)</f>
        <v>0</v>
      </c>
      <c r="O31" s="14" t="n">
        <f aca="false">IF(Sessions!$L$7="Yes",Sessions!$I$7*MAX(0,MIN($C31,Sessions!$K$7)-MAX($B31,Sessions!$C$7))*24,J31)</f>
        <v>0</v>
      </c>
      <c r="P31" s="14" t="n">
        <f aca="false">IF(Sessions!$L$8="Yes",Sessions!$I$8*MAX(0,MIN($C31,Sessions!$K$8)-MAX($B31,Sessions!$C$8))*24,K31)</f>
        <v>0</v>
      </c>
      <c r="Q31" s="15" t="n">
        <f aca="false">SUM(G31:K31)</f>
        <v>2.75</v>
      </c>
      <c r="R31" s="15" t="n">
        <f aca="false">SUM(L31:P31)</f>
        <v>0</v>
      </c>
      <c r="S31" s="15" t="n">
        <f aca="false">MAX(0,F31-Q31)</f>
        <v>0.75</v>
      </c>
      <c r="T31" s="15" t="n">
        <f aca="false">F31/Inputs!$B$4</f>
        <v>14</v>
      </c>
      <c r="U31" s="15" t="n">
        <f aca="false">(S31+R31)/Inputs!$B$4</f>
        <v>3</v>
      </c>
      <c r="V31" s="15" t="n">
        <f aca="false">MAX(0,R31-Q31)</f>
        <v>0</v>
      </c>
    </row>
    <row r="32" customFormat="false" ht="15" hidden="false" customHeight="false" outlineLevel="0" collapsed="false">
      <c r="A32" s="2" t="n">
        <v>29</v>
      </c>
      <c r="B32" s="11" t="n">
        <v>46307.9583333333</v>
      </c>
      <c r="C32" s="13" t="n">
        <f aca="false">B32+1/96</f>
        <v>46307.96875</v>
      </c>
      <c r="D32" s="10" t="n">
        <v>0.24</v>
      </c>
      <c r="E32" s="10" t="n">
        <v>0.38</v>
      </c>
      <c r="F32" s="5" t="n">
        <v>5</v>
      </c>
      <c r="G32" s="14" t="n">
        <f aca="false">Sessions!$N$4*MAX(0,MIN($C32,Sessions!$O$4)-MAX($B32,Sessions!$M$4))*24</f>
        <v>1.5</v>
      </c>
      <c r="H32" s="14" t="n">
        <f aca="false">Sessions!$N$5*MAX(0,MIN($C32,Sessions!$O$5)-MAX($B32,Sessions!$M$5))*24</f>
        <v>1.5</v>
      </c>
      <c r="I32" s="14" t="n">
        <f aca="false">Sessions!$N$6*MAX(0,MIN($C32,Sessions!$O$6)-MAX($B32,Sessions!$M$6))*24</f>
        <v>1.25</v>
      </c>
      <c r="J32" s="14" t="n">
        <f aca="false">Sessions!$N$7*MAX(0,MIN($C32,Sessions!$O$7)-MAX($B32,Sessions!$M$7))*24</f>
        <v>0</v>
      </c>
      <c r="K32" s="14" t="n">
        <f aca="false">Sessions!$N$8*MAX(0,MIN($C32,Sessions!$O$8)-MAX($B32,Sessions!$M$8))*24</f>
        <v>0</v>
      </c>
      <c r="L32" s="14" t="n">
        <f aca="false">IF(Sessions!$L$4="Yes",Sessions!$I$4*MAX(0,MIN($C32,Sessions!$K$4)-MAX($B32,Sessions!$C$4))*24,G32)</f>
        <v>0</v>
      </c>
      <c r="M32" s="14" t="n">
        <f aca="false">IF(Sessions!$L$5="Yes",Sessions!$I$5*MAX(0,MIN($C32,Sessions!$K$5)-MAX($B32,Sessions!$C$5))*24,H32)</f>
        <v>0</v>
      </c>
      <c r="N32" s="14" t="n">
        <f aca="false">IF(Sessions!$L$6="Yes",Sessions!$I$6*MAX(0,MIN($C32,Sessions!$K$6)-MAX($B32,Sessions!$C$6))*24,I32)</f>
        <v>0</v>
      </c>
      <c r="O32" s="14" t="n">
        <f aca="false">IF(Sessions!$L$7="Yes",Sessions!$I$7*MAX(0,MIN($C32,Sessions!$K$7)-MAX($B32,Sessions!$C$7))*24,J32)</f>
        <v>0</v>
      </c>
      <c r="P32" s="14" t="n">
        <f aca="false">IF(Sessions!$L$8="Yes",Sessions!$I$8*MAX(0,MIN($C32,Sessions!$K$8)-MAX($B32,Sessions!$C$8))*24,K32)</f>
        <v>0</v>
      </c>
      <c r="Q32" s="15" t="n">
        <f aca="false">SUM(G32:K32)</f>
        <v>4.25</v>
      </c>
      <c r="R32" s="15" t="n">
        <f aca="false">SUM(L32:P32)</f>
        <v>0</v>
      </c>
      <c r="S32" s="15" t="n">
        <f aca="false">MAX(0,F32-Q32)</f>
        <v>0.75</v>
      </c>
      <c r="T32" s="15" t="n">
        <f aca="false">F32/Inputs!$B$4</f>
        <v>20</v>
      </c>
      <c r="U32" s="15" t="n">
        <f aca="false">(S32+R32)/Inputs!$B$4</f>
        <v>3</v>
      </c>
      <c r="V32" s="15" t="n">
        <f aca="false">MAX(0,R32-Q32)</f>
        <v>0</v>
      </c>
    </row>
    <row r="33" customFormat="false" ht="15" hidden="false" customHeight="false" outlineLevel="0" collapsed="false">
      <c r="A33" s="2" t="n">
        <v>30</v>
      </c>
      <c r="B33" s="11" t="n">
        <v>46307.96875</v>
      </c>
      <c r="C33" s="13" t="n">
        <f aca="false">B33+1/96</f>
        <v>46307.9791666667</v>
      </c>
      <c r="D33" s="10" t="n">
        <v>0.24</v>
      </c>
      <c r="E33" s="10" t="n">
        <v>0.38</v>
      </c>
      <c r="F33" s="5" t="n">
        <v>5</v>
      </c>
      <c r="G33" s="14" t="n">
        <f aca="false">Sessions!$N$4*MAX(0,MIN($C33,Sessions!$O$4)-MAX($B33,Sessions!$M$4))*24</f>
        <v>1.5</v>
      </c>
      <c r="H33" s="14" t="n">
        <f aca="false">Sessions!$N$5*MAX(0,MIN($C33,Sessions!$O$5)-MAX($B33,Sessions!$M$5))*24</f>
        <v>1.5</v>
      </c>
      <c r="I33" s="14" t="n">
        <f aca="false">Sessions!$N$6*MAX(0,MIN($C33,Sessions!$O$6)-MAX($B33,Sessions!$M$6))*24</f>
        <v>1.25</v>
      </c>
      <c r="J33" s="14" t="n">
        <f aca="false">Sessions!$N$7*MAX(0,MIN($C33,Sessions!$O$7)-MAX($B33,Sessions!$M$7))*24</f>
        <v>0</v>
      </c>
      <c r="K33" s="14" t="n">
        <f aca="false">Sessions!$N$8*MAX(0,MIN($C33,Sessions!$O$8)-MAX($B33,Sessions!$M$8))*24</f>
        <v>0</v>
      </c>
      <c r="L33" s="14" t="n">
        <f aca="false">IF(Sessions!$L$4="Yes",Sessions!$I$4*MAX(0,MIN($C33,Sessions!$K$4)-MAX($B33,Sessions!$C$4))*24,G33)</f>
        <v>0</v>
      </c>
      <c r="M33" s="14" t="n">
        <f aca="false">IF(Sessions!$L$5="Yes",Sessions!$I$5*MAX(0,MIN($C33,Sessions!$K$5)-MAX($B33,Sessions!$C$5))*24,H33)</f>
        <v>0</v>
      </c>
      <c r="N33" s="14" t="n">
        <f aca="false">IF(Sessions!$L$6="Yes",Sessions!$I$6*MAX(0,MIN($C33,Sessions!$K$6)-MAX($B33,Sessions!$C$6))*24,I33)</f>
        <v>0</v>
      </c>
      <c r="O33" s="14" t="n">
        <f aca="false">IF(Sessions!$L$7="Yes",Sessions!$I$7*MAX(0,MIN($C33,Sessions!$K$7)-MAX($B33,Sessions!$C$7))*24,J33)</f>
        <v>0</v>
      </c>
      <c r="P33" s="14" t="n">
        <f aca="false">IF(Sessions!$L$8="Yes",Sessions!$I$8*MAX(0,MIN($C33,Sessions!$K$8)-MAX($B33,Sessions!$C$8))*24,K33)</f>
        <v>0</v>
      </c>
      <c r="Q33" s="15" t="n">
        <f aca="false">SUM(G33:K33)</f>
        <v>4.25</v>
      </c>
      <c r="R33" s="15" t="n">
        <f aca="false">SUM(L33:P33)</f>
        <v>0</v>
      </c>
      <c r="S33" s="15" t="n">
        <f aca="false">MAX(0,F33-Q33)</f>
        <v>0.75</v>
      </c>
      <c r="T33" s="15" t="n">
        <f aca="false">F33/Inputs!$B$4</f>
        <v>20</v>
      </c>
      <c r="U33" s="15" t="n">
        <f aca="false">(S33+R33)/Inputs!$B$4</f>
        <v>3</v>
      </c>
      <c r="V33" s="15" t="n">
        <f aca="false">MAX(0,R33-Q33)</f>
        <v>0</v>
      </c>
    </row>
    <row r="34" customFormat="false" ht="15" hidden="false" customHeight="false" outlineLevel="0" collapsed="false">
      <c r="A34" s="2" t="n">
        <v>31</v>
      </c>
      <c r="B34" s="11" t="n">
        <v>46307.9791666667</v>
      </c>
      <c r="C34" s="13" t="n">
        <f aca="false">B34+1/96</f>
        <v>46307.9895833333</v>
      </c>
      <c r="D34" s="10" t="n">
        <v>0.24</v>
      </c>
      <c r="E34" s="10" t="n">
        <v>0.38</v>
      </c>
      <c r="F34" s="5" t="n">
        <v>5</v>
      </c>
      <c r="G34" s="14" t="n">
        <f aca="false">Sessions!$N$4*MAX(0,MIN($C34,Sessions!$O$4)-MAX($B34,Sessions!$M$4))*24</f>
        <v>1.5</v>
      </c>
      <c r="H34" s="14" t="n">
        <f aca="false">Sessions!$N$5*MAX(0,MIN($C34,Sessions!$O$5)-MAX($B34,Sessions!$M$5))*24</f>
        <v>1.5</v>
      </c>
      <c r="I34" s="14" t="n">
        <f aca="false">Sessions!$N$6*MAX(0,MIN($C34,Sessions!$O$6)-MAX($B34,Sessions!$M$6))*24</f>
        <v>1.25</v>
      </c>
      <c r="J34" s="14" t="n">
        <f aca="false">Sessions!$N$7*MAX(0,MIN($C34,Sessions!$O$7)-MAX($B34,Sessions!$M$7))*24</f>
        <v>0</v>
      </c>
      <c r="K34" s="14" t="n">
        <f aca="false">Sessions!$N$8*MAX(0,MIN($C34,Sessions!$O$8)-MAX($B34,Sessions!$M$8))*24</f>
        <v>0</v>
      </c>
      <c r="L34" s="14" t="n">
        <f aca="false">IF(Sessions!$L$4="Yes",Sessions!$I$4*MAX(0,MIN($C34,Sessions!$K$4)-MAX($B34,Sessions!$C$4))*24,G34)</f>
        <v>0</v>
      </c>
      <c r="M34" s="14" t="n">
        <f aca="false">IF(Sessions!$L$5="Yes",Sessions!$I$5*MAX(0,MIN($C34,Sessions!$K$5)-MAX($B34,Sessions!$C$5))*24,H34)</f>
        <v>0</v>
      </c>
      <c r="N34" s="14" t="n">
        <f aca="false">IF(Sessions!$L$6="Yes",Sessions!$I$6*MAX(0,MIN($C34,Sessions!$K$6)-MAX($B34,Sessions!$C$6))*24,I34)</f>
        <v>0</v>
      </c>
      <c r="O34" s="14" t="n">
        <f aca="false">IF(Sessions!$L$7="Yes",Sessions!$I$7*MAX(0,MIN($C34,Sessions!$K$7)-MAX($B34,Sessions!$C$7))*24,J34)</f>
        <v>0</v>
      </c>
      <c r="P34" s="14" t="n">
        <f aca="false">IF(Sessions!$L$8="Yes",Sessions!$I$8*MAX(0,MIN($C34,Sessions!$K$8)-MAX($B34,Sessions!$C$8))*24,K34)</f>
        <v>0</v>
      </c>
      <c r="Q34" s="15" t="n">
        <f aca="false">SUM(G34:K34)</f>
        <v>4.25</v>
      </c>
      <c r="R34" s="15" t="n">
        <f aca="false">SUM(L34:P34)</f>
        <v>0</v>
      </c>
      <c r="S34" s="15" t="n">
        <f aca="false">MAX(0,F34-Q34)</f>
        <v>0.75</v>
      </c>
      <c r="T34" s="15" t="n">
        <f aca="false">F34/Inputs!$B$4</f>
        <v>20</v>
      </c>
      <c r="U34" s="15" t="n">
        <f aca="false">(S34+R34)/Inputs!$B$4</f>
        <v>3</v>
      </c>
      <c r="V34" s="15" t="n">
        <f aca="false">MAX(0,R34-Q34)</f>
        <v>0</v>
      </c>
    </row>
    <row r="35" customFormat="false" ht="15" hidden="false" customHeight="false" outlineLevel="0" collapsed="false">
      <c r="A35" s="2" t="n">
        <v>32</v>
      </c>
      <c r="B35" s="11" t="n">
        <v>46307.9895833333</v>
      </c>
      <c r="C35" s="13" t="n">
        <f aca="false">B35+1/96</f>
        <v>46308</v>
      </c>
      <c r="D35" s="10" t="n">
        <v>0.24</v>
      </c>
      <c r="E35" s="10" t="n">
        <v>0.38</v>
      </c>
      <c r="F35" s="5" t="n">
        <v>5</v>
      </c>
      <c r="G35" s="14" t="n">
        <f aca="false">Sessions!$N$4*MAX(0,MIN($C35,Sessions!$O$4)-MAX($B35,Sessions!$M$4))*24</f>
        <v>1.5</v>
      </c>
      <c r="H35" s="14" t="n">
        <f aca="false">Sessions!$N$5*MAX(0,MIN($C35,Sessions!$O$5)-MAX($B35,Sessions!$M$5))*24</f>
        <v>1.5</v>
      </c>
      <c r="I35" s="14" t="n">
        <f aca="false">Sessions!$N$6*MAX(0,MIN($C35,Sessions!$O$6)-MAX($B35,Sessions!$M$6))*24</f>
        <v>1.25</v>
      </c>
      <c r="J35" s="14" t="n">
        <f aca="false">Sessions!$N$7*MAX(0,MIN($C35,Sessions!$O$7)-MAX($B35,Sessions!$M$7))*24</f>
        <v>0</v>
      </c>
      <c r="K35" s="14" t="n">
        <f aca="false">Sessions!$N$8*MAX(0,MIN($C35,Sessions!$O$8)-MAX($B35,Sessions!$M$8))*24</f>
        <v>0</v>
      </c>
      <c r="L35" s="14" t="n">
        <f aca="false">IF(Sessions!$L$4="Yes",Sessions!$I$4*MAX(0,MIN($C35,Sessions!$K$4)-MAX($B35,Sessions!$C$4))*24,G35)</f>
        <v>0</v>
      </c>
      <c r="M35" s="14" t="n">
        <f aca="false">IF(Sessions!$L$5="Yes",Sessions!$I$5*MAX(0,MIN($C35,Sessions!$K$5)-MAX($B35,Sessions!$C$5))*24,H35)</f>
        <v>0</v>
      </c>
      <c r="N35" s="14" t="n">
        <f aca="false">IF(Sessions!$L$6="Yes",Sessions!$I$6*MAX(0,MIN($C35,Sessions!$K$6)-MAX($B35,Sessions!$C$6))*24,I35)</f>
        <v>0</v>
      </c>
      <c r="O35" s="14" t="n">
        <f aca="false">IF(Sessions!$L$7="Yes",Sessions!$I$7*MAX(0,MIN($C35,Sessions!$K$7)-MAX($B35,Sessions!$C$7))*24,J35)</f>
        <v>0</v>
      </c>
      <c r="P35" s="14" t="n">
        <f aca="false">IF(Sessions!$L$8="Yes",Sessions!$I$8*MAX(0,MIN($C35,Sessions!$K$8)-MAX($B35,Sessions!$C$8))*24,K35)</f>
        <v>0</v>
      </c>
      <c r="Q35" s="15" t="n">
        <f aca="false">SUM(G35:K35)</f>
        <v>4.25</v>
      </c>
      <c r="R35" s="15" t="n">
        <f aca="false">SUM(L35:P35)</f>
        <v>0</v>
      </c>
      <c r="S35" s="15" t="n">
        <f aca="false">MAX(0,F35-Q35)</f>
        <v>0.75</v>
      </c>
      <c r="T35" s="15" t="n">
        <f aca="false">F35/Inputs!$B$4</f>
        <v>20</v>
      </c>
      <c r="U35" s="15" t="n">
        <f aca="false">(S35+R35)/Inputs!$B$4</f>
        <v>3</v>
      </c>
      <c r="V35" s="15" t="n">
        <f aca="false">MAX(0,R35-Q35)</f>
        <v>0</v>
      </c>
    </row>
    <row r="36" customFormat="false" ht="15" hidden="false" customHeight="false" outlineLevel="0" collapsed="false">
      <c r="A36" s="2" t="n">
        <v>33</v>
      </c>
      <c r="B36" s="11" t="n">
        <v>46308</v>
      </c>
      <c r="C36" s="13" t="n">
        <f aca="false">B36+1/96</f>
        <v>46308.0104166667</v>
      </c>
      <c r="D36" s="10" t="n">
        <v>0.2</v>
      </c>
      <c r="E36" s="10" t="n">
        <v>0.33</v>
      </c>
      <c r="F36" s="5" t="n">
        <v>7</v>
      </c>
      <c r="G36" s="14" t="n">
        <f aca="false">Sessions!$N$4*MAX(0,MIN($C36,Sessions!$O$4)-MAX($B36,Sessions!$M$4))*24</f>
        <v>1.5</v>
      </c>
      <c r="H36" s="14" t="n">
        <f aca="false">Sessions!$N$5*MAX(0,MIN($C36,Sessions!$O$5)-MAX($B36,Sessions!$M$5))*24</f>
        <v>1.5</v>
      </c>
      <c r="I36" s="14" t="n">
        <f aca="false">Sessions!$N$6*MAX(0,MIN($C36,Sessions!$O$6)-MAX($B36,Sessions!$M$6))*24</f>
        <v>1.25</v>
      </c>
      <c r="J36" s="14" t="n">
        <f aca="false">Sessions!$N$7*MAX(0,MIN($C36,Sessions!$O$7)-MAX($B36,Sessions!$M$7))*24</f>
        <v>2</v>
      </c>
      <c r="K36" s="14" t="n">
        <f aca="false">Sessions!$N$8*MAX(0,MIN($C36,Sessions!$O$8)-MAX($B36,Sessions!$M$8))*24</f>
        <v>0</v>
      </c>
      <c r="L36" s="14" t="n">
        <f aca="false">IF(Sessions!$L$4="Yes",Sessions!$I$4*MAX(0,MIN($C36,Sessions!$K$4)-MAX($B36,Sessions!$C$4))*24,G36)</f>
        <v>0</v>
      </c>
      <c r="M36" s="14" t="n">
        <f aca="false">IF(Sessions!$L$5="Yes",Sessions!$I$5*MAX(0,MIN($C36,Sessions!$K$5)-MAX($B36,Sessions!$C$5))*24,H36)</f>
        <v>0</v>
      </c>
      <c r="N36" s="14" t="n">
        <f aca="false">IF(Sessions!$L$6="Yes",Sessions!$I$6*MAX(0,MIN($C36,Sessions!$K$6)-MAX($B36,Sessions!$C$6))*24,I36)</f>
        <v>0</v>
      </c>
      <c r="O36" s="14" t="n">
        <f aca="false">IF(Sessions!$L$7="Yes",Sessions!$I$7*MAX(0,MIN($C36,Sessions!$K$7)-MAX($B36,Sessions!$C$7))*24,J36)</f>
        <v>0</v>
      </c>
      <c r="P36" s="14" t="n">
        <f aca="false">IF(Sessions!$L$8="Yes",Sessions!$I$8*MAX(0,MIN($C36,Sessions!$K$8)-MAX($B36,Sessions!$C$8))*24,K36)</f>
        <v>0</v>
      </c>
      <c r="Q36" s="15" t="n">
        <f aca="false">SUM(G36:K36)</f>
        <v>6.25</v>
      </c>
      <c r="R36" s="15" t="n">
        <f aca="false">SUM(L36:P36)</f>
        <v>0</v>
      </c>
      <c r="S36" s="15" t="n">
        <f aca="false">MAX(0,F36-Q36)</f>
        <v>0.75</v>
      </c>
      <c r="T36" s="15" t="n">
        <f aca="false">F36/Inputs!$B$4</f>
        <v>28</v>
      </c>
      <c r="U36" s="15" t="n">
        <f aca="false">(S36+R36)/Inputs!$B$4</f>
        <v>3</v>
      </c>
      <c r="V36" s="15" t="n">
        <f aca="false">MAX(0,R36-Q36)</f>
        <v>0</v>
      </c>
    </row>
    <row r="37" customFormat="false" ht="15" hidden="false" customHeight="false" outlineLevel="0" collapsed="false">
      <c r="A37" s="2" t="n">
        <v>34</v>
      </c>
      <c r="B37" s="11" t="n">
        <v>46308.0104166667</v>
      </c>
      <c r="C37" s="13" t="n">
        <f aca="false">B37+1/96</f>
        <v>46308.0208333333</v>
      </c>
      <c r="D37" s="10" t="n">
        <v>0.2</v>
      </c>
      <c r="E37" s="10" t="n">
        <v>0.33</v>
      </c>
      <c r="F37" s="5" t="n">
        <v>7</v>
      </c>
      <c r="G37" s="14" t="n">
        <f aca="false">Sessions!$N$4*MAX(0,MIN($C37,Sessions!$O$4)-MAX($B37,Sessions!$M$4))*24</f>
        <v>1.5</v>
      </c>
      <c r="H37" s="14" t="n">
        <f aca="false">Sessions!$N$5*MAX(0,MIN($C37,Sessions!$O$5)-MAX($B37,Sessions!$M$5))*24</f>
        <v>1.5</v>
      </c>
      <c r="I37" s="14" t="n">
        <f aca="false">Sessions!$N$6*MAX(0,MIN($C37,Sessions!$O$6)-MAX($B37,Sessions!$M$6))*24</f>
        <v>1.25</v>
      </c>
      <c r="J37" s="14" t="n">
        <f aca="false">Sessions!$N$7*MAX(0,MIN($C37,Sessions!$O$7)-MAX($B37,Sessions!$M$7))*24</f>
        <v>2</v>
      </c>
      <c r="K37" s="14" t="n">
        <f aca="false">Sessions!$N$8*MAX(0,MIN($C37,Sessions!$O$8)-MAX($B37,Sessions!$M$8))*24</f>
        <v>0</v>
      </c>
      <c r="L37" s="14" t="n">
        <f aca="false">IF(Sessions!$L$4="Yes",Sessions!$I$4*MAX(0,MIN($C37,Sessions!$K$4)-MAX($B37,Sessions!$C$4))*24,G37)</f>
        <v>0</v>
      </c>
      <c r="M37" s="14" t="n">
        <f aca="false">IF(Sessions!$L$5="Yes",Sessions!$I$5*MAX(0,MIN($C37,Sessions!$K$5)-MAX($B37,Sessions!$C$5))*24,H37)</f>
        <v>0</v>
      </c>
      <c r="N37" s="14" t="n">
        <f aca="false">IF(Sessions!$L$6="Yes",Sessions!$I$6*MAX(0,MIN($C37,Sessions!$K$6)-MAX($B37,Sessions!$C$6))*24,I37)</f>
        <v>0</v>
      </c>
      <c r="O37" s="14" t="n">
        <f aca="false">IF(Sessions!$L$7="Yes",Sessions!$I$7*MAX(0,MIN($C37,Sessions!$K$7)-MAX($B37,Sessions!$C$7))*24,J37)</f>
        <v>0</v>
      </c>
      <c r="P37" s="14" t="n">
        <f aca="false">IF(Sessions!$L$8="Yes",Sessions!$I$8*MAX(0,MIN($C37,Sessions!$K$8)-MAX($B37,Sessions!$C$8))*24,K37)</f>
        <v>0</v>
      </c>
      <c r="Q37" s="15" t="n">
        <f aca="false">SUM(G37:K37)</f>
        <v>6.25</v>
      </c>
      <c r="R37" s="15" t="n">
        <f aca="false">SUM(L37:P37)</f>
        <v>0</v>
      </c>
      <c r="S37" s="15" t="n">
        <f aca="false">MAX(0,F37-Q37)</f>
        <v>0.75</v>
      </c>
      <c r="T37" s="15" t="n">
        <f aca="false">F37/Inputs!$B$4</f>
        <v>28</v>
      </c>
      <c r="U37" s="15" t="n">
        <f aca="false">(S37+R37)/Inputs!$B$4</f>
        <v>3</v>
      </c>
      <c r="V37" s="15" t="n">
        <f aca="false">MAX(0,R37-Q37)</f>
        <v>0</v>
      </c>
    </row>
    <row r="38" customFormat="false" ht="15" hidden="false" customHeight="false" outlineLevel="0" collapsed="false">
      <c r="A38" s="2" t="n">
        <v>35</v>
      </c>
      <c r="B38" s="11" t="n">
        <v>46308.0208333333</v>
      </c>
      <c r="C38" s="13" t="n">
        <f aca="false">B38+1/96</f>
        <v>46308.03125</v>
      </c>
      <c r="D38" s="10" t="n">
        <v>0.2</v>
      </c>
      <c r="E38" s="10" t="n">
        <v>0.33</v>
      </c>
      <c r="F38" s="5" t="n">
        <v>7</v>
      </c>
      <c r="G38" s="14" t="n">
        <f aca="false">Sessions!$N$4*MAX(0,MIN($C38,Sessions!$O$4)-MAX($B38,Sessions!$M$4))*24</f>
        <v>1.5</v>
      </c>
      <c r="H38" s="14" t="n">
        <f aca="false">Sessions!$N$5*MAX(0,MIN($C38,Sessions!$O$5)-MAX($B38,Sessions!$M$5))*24</f>
        <v>1.5</v>
      </c>
      <c r="I38" s="14" t="n">
        <f aca="false">Sessions!$N$6*MAX(0,MIN($C38,Sessions!$O$6)-MAX($B38,Sessions!$M$6))*24</f>
        <v>1.25</v>
      </c>
      <c r="J38" s="14" t="n">
        <f aca="false">Sessions!$N$7*MAX(0,MIN($C38,Sessions!$O$7)-MAX($B38,Sessions!$M$7))*24</f>
        <v>2</v>
      </c>
      <c r="K38" s="14" t="n">
        <f aca="false">Sessions!$N$8*MAX(0,MIN($C38,Sessions!$O$8)-MAX($B38,Sessions!$M$8))*24</f>
        <v>0</v>
      </c>
      <c r="L38" s="14" t="n">
        <f aca="false">IF(Sessions!$L$4="Yes",Sessions!$I$4*MAX(0,MIN($C38,Sessions!$K$4)-MAX($B38,Sessions!$C$4))*24,G38)</f>
        <v>0</v>
      </c>
      <c r="M38" s="14" t="n">
        <f aca="false">IF(Sessions!$L$5="Yes",Sessions!$I$5*MAX(0,MIN($C38,Sessions!$K$5)-MAX($B38,Sessions!$C$5))*24,H38)</f>
        <v>0</v>
      </c>
      <c r="N38" s="14" t="n">
        <f aca="false">IF(Sessions!$L$6="Yes",Sessions!$I$6*MAX(0,MIN($C38,Sessions!$K$6)-MAX($B38,Sessions!$C$6))*24,I38)</f>
        <v>0</v>
      </c>
      <c r="O38" s="14" t="n">
        <f aca="false">IF(Sessions!$L$7="Yes",Sessions!$I$7*MAX(0,MIN($C38,Sessions!$K$7)-MAX($B38,Sessions!$C$7))*24,J38)</f>
        <v>0</v>
      </c>
      <c r="P38" s="14" t="n">
        <f aca="false">IF(Sessions!$L$8="Yes",Sessions!$I$8*MAX(0,MIN($C38,Sessions!$K$8)-MAX($B38,Sessions!$C$8))*24,K38)</f>
        <v>0</v>
      </c>
      <c r="Q38" s="15" t="n">
        <f aca="false">SUM(G38:K38)</f>
        <v>6.25</v>
      </c>
      <c r="R38" s="15" t="n">
        <f aca="false">SUM(L38:P38)</f>
        <v>0</v>
      </c>
      <c r="S38" s="15" t="n">
        <f aca="false">MAX(0,F38-Q38)</f>
        <v>0.75</v>
      </c>
      <c r="T38" s="15" t="n">
        <f aca="false">F38/Inputs!$B$4</f>
        <v>28</v>
      </c>
      <c r="U38" s="15" t="n">
        <f aca="false">(S38+R38)/Inputs!$B$4</f>
        <v>3</v>
      </c>
      <c r="V38" s="15" t="n">
        <f aca="false">MAX(0,R38-Q38)</f>
        <v>0</v>
      </c>
    </row>
    <row r="39" customFormat="false" ht="15" hidden="false" customHeight="false" outlineLevel="0" collapsed="false">
      <c r="A39" s="2" t="n">
        <v>36</v>
      </c>
      <c r="B39" s="11" t="n">
        <v>46308.03125</v>
      </c>
      <c r="C39" s="13" t="n">
        <f aca="false">B39+1/96</f>
        <v>46308.0416666667</v>
      </c>
      <c r="D39" s="10" t="n">
        <v>0.2</v>
      </c>
      <c r="E39" s="10" t="n">
        <v>0.33</v>
      </c>
      <c r="F39" s="5" t="n">
        <v>7</v>
      </c>
      <c r="G39" s="14" t="n">
        <f aca="false">Sessions!$N$4*MAX(0,MIN($C39,Sessions!$O$4)-MAX($B39,Sessions!$M$4))*24</f>
        <v>1.5</v>
      </c>
      <c r="H39" s="14" t="n">
        <f aca="false">Sessions!$N$5*MAX(0,MIN($C39,Sessions!$O$5)-MAX($B39,Sessions!$M$5))*24</f>
        <v>1.5</v>
      </c>
      <c r="I39" s="14" t="n">
        <f aca="false">Sessions!$N$6*MAX(0,MIN($C39,Sessions!$O$6)-MAX($B39,Sessions!$M$6))*24</f>
        <v>1.25</v>
      </c>
      <c r="J39" s="14" t="n">
        <f aca="false">Sessions!$N$7*MAX(0,MIN($C39,Sessions!$O$7)-MAX($B39,Sessions!$M$7))*24</f>
        <v>2</v>
      </c>
      <c r="K39" s="14" t="n">
        <f aca="false">Sessions!$N$8*MAX(0,MIN($C39,Sessions!$O$8)-MAX($B39,Sessions!$M$8))*24</f>
        <v>0</v>
      </c>
      <c r="L39" s="14" t="n">
        <f aca="false">IF(Sessions!$L$4="Yes",Sessions!$I$4*MAX(0,MIN($C39,Sessions!$K$4)-MAX($B39,Sessions!$C$4))*24,G39)</f>
        <v>0</v>
      </c>
      <c r="M39" s="14" t="n">
        <f aca="false">IF(Sessions!$L$5="Yes",Sessions!$I$5*MAX(0,MIN($C39,Sessions!$K$5)-MAX($B39,Sessions!$C$5))*24,H39)</f>
        <v>0</v>
      </c>
      <c r="N39" s="14" t="n">
        <f aca="false">IF(Sessions!$L$6="Yes",Sessions!$I$6*MAX(0,MIN($C39,Sessions!$K$6)-MAX($B39,Sessions!$C$6))*24,I39)</f>
        <v>0</v>
      </c>
      <c r="O39" s="14" t="n">
        <f aca="false">IF(Sessions!$L$7="Yes",Sessions!$I$7*MAX(0,MIN($C39,Sessions!$K$7)-MAX($B39,Sessions!$C$7))*24,J39)</f>
        <v>0</v>
      </c>
      <c r="P39" s="14" t="n">
        <f aca="false">IF(Sessions!$L$8="Yes",Sessions!$I$8*MAX(0,MIN($C39,Sessions!$K$8)-MAX($B39,Sessions!$C$8))*24,K39)</f>
        <v>0</v>
      </c>
      <c r="Q39" s="15" t="n">
        <f aca="false">SUM(G39:K39)</f>
        <v>6.25</v>
      </c>
      <c r="R39" s="15" t="n">
        <f aca="false">SUM(L39:P39)</f>
        <v>0</v>
      </c>
      <c r="S39" s="15" t="n">
        <f aca="false">MAX(0,F39-Q39)</f>
        <v>0.75</v>
      </c>
      <c r="T39" s="15" t="n">
        <f aca="false">F39/Inputs!$B$4</f>
        <v>28</v>
      </c>
      <c r="U39" s="15" t="n">
        <f aca="false">(S39+R39)/Inputs!$B$4</f>
        <v>3</v>
      </c>
      <c r="V39" s="15" t="n">
        <f aca="false">MAX(0,R39-Q39)</f>
        <v>0</v>
      </c>
    </row>
    <row r="40" customFormat="false" ht="15" hidden="false" customHeight="false" outlineLevel="0" collapsed="false">
      <c r="A40" s="2" t="n">
        <v>37</v>
      </c>
      <c r="B40" s="11" t="n">
        <v>46308.0416666667</v>
      </c>
      <c r="C40" s="13" t="n">
        <f aca="false">B40+1/96</f>
        <v>46308.0520833333</v>
      </c>
      <c r="D40" s="10" t="n">
        <v>0.2</v>
      </c>
      <c r="E40" s="10" t="n">
        <v>0.33</v>
      </c>
      <c r="F40" s="5" t="n">
        <v>7</v>
      </c>
      <c r="G40" s="14" t="n">
        <f aca="false">Sessions!$N$4*MAX(0,MIN($C40,Sessions!$O$4)-MAX($B40,Sessions!$M$4))*24</f>
        <v>1.5</v>
      </c>
      <c r="H40" s="14" t="n">
        <f aca="false">Sessions!$N$5*MAX(0,MIN($C40,Sessions!$O$5)-MAX($B40,Sessions!$M$5))*24</f>
        <v>1.5</v>
      </c>
      <c r="I40" s="14" t="n">
        <f aca="false">Sessions!$N$6*MAX(0,MIN($C40,Sessions!$O$6)-MAX($B40,Sessions!$M$6))*24</f>
        <v>1.25</v>
      </c>
      <c r="J40" s="14" t="n">
        <f aca="false">Sessions!$N$7*MAX(0,MIN($C40,Sessions!$O$7)-MAX($B40,Sessions!$M$7))*24</f>
        <v>2</v>
      </c>
      <c r="K40" s="14" t="n">
        <f aca="false">Sessions!$N$8*MAX(0,MIN($C40,Sessions!$O$8)-MAX($B40,Sessions!$M$8))*24</f>
        <v>0</v>
      </c>
      <c r="L40" s="14" t="n">
        <f aca="false">IF(Sessions!$L$4="Yes",Sessions!$I$4*MAX(0,MIN($C40,Sessions!$K$4)-MAX($B40,Sessions!$C$4))*24,G40)</f>
        <v>0</v>
      </c>
      <c r="M40" s="14" t="n">
        <f aca="false">IF(Sessions!$L$5="Yes",Sessions!$I$5*MAX(0,MIN($C40,Sessions!$K$5)-MAX($B40,Sessions!$C$5))*24,H40)</f>
        <v>0</v>
      </c>
      <c r="N40" s="14" t="n">
        <f aca="false">IF(Sessions!$L$6="Yes",Sessions!$I$6*MAX(0,MIN($C40,Sessions!$K$6)-MAX($B40,Sessions!$C$6))*24,I40)</f>
        <v>0</v>
      </c>
      <c r="O40" s="14" t="n">
        <f aca="false">IF(Sessions!$L$7="Yes",Sessions!$I$7*MAX(0,MIN($C40,Sessions!$K$7)-MAX($B40,Sessions!$C$7))*24,J40)</f>
        <v>0</v>
      </c>
      <c r="P40" s="14" t="n">
        <f aca="false">IF(Sessions!$L$8="Yes",Sessions!$I$8*MAX(0,MIN($C40,Sessions!$K$8)-MAX($B40,Sessions!$C$8))*24,K40)</f>
        <v>0</v>
      </c>
      <c r="Q40" s="15" t="n">
        <f aca="false">SUM(G40:K40)</f>
        <v>6.25</v>
      </c>
      <c r="R40" s="15" t="n">
        <f aca="false">SUM(L40:P40)</f>
        <v>0</v>
      </c>
      <c r="S40" s="15" t="n">
        <f aca="false">MAX(0,F40-Q40)</f>
        <v>0.75</v>
      </c>
      <c r="T40" s="15" t="n">
        <f aca="false">F40/Inputs!$B$4</f>
        <v>28</v>
      </c>
      <c r="U40" s="15" t="n">
        <f aca="false">(S40+R40)/Inputs!$B$4</f>
        <v>3</v>
      </c>
      <c r="V40" s="15" t="n">
        <f aca="false">MAX(0,R40-Q40)</f>
        <v>0</v>
      </c>
    </row>
    <row r="41" customFormat="false" ht="15" hidden="false" customHeight="false" outlineLevel="0" collapsed="false">
      <c r="A41" s="2" t="n">
        <v>38</v>
      </c>
      <c r="B41" s="11" t="n">
        <v>46308.0520833333</v>
      </c>
      <c r="C41" s="13" t="n">
        <f aca="false">B41+1/96</f>
        <v>46308.0625</v>
      </c>
      <c r="D41" s="10" t="n">
        <v>0.2</v>
      </c>
      <c r="E41" s="10" t="n">
        <v>0.33</v>
      </c>
      <c r="F41" s="5" t="n">
        <v>7</v>
      </c>
      <c r="G41" s="14" t="n">
        <f aca="false">Sessions!$N$4*MAX(0,MIN($C41,Sessions!$O$4)-MAX($B41,Sessions!$M$4))*24</f>
        <v>1.5</v>
      </c>
      <c r="H41" s="14" t="n">
        <f aca="false">Sessions!$N$5*MAX(0,MIN($C41,Sessions!$O$5)-MAX($B41,Sessions!$M$5))*24</f>
        <v>1.5</v>
      </c>
      <c r="I41" s="14" t="n">
        <f aca="false">Sessions!$N$6*MAX(0,MIN($C41,Sessions!$O$6)-MAX($B41,Sessions!$M$6))*24</f>
        <v>1.25</v>
      </c>
      <c r="J41" s="14" t="n">
        <f aca="false">Sessions!$N$7*MAX(0,MIN($C41,Sessions!$O$7)-MAX($B41,Sessions!$M$7))*24</f>
        <v>2</v>
      </c>
      <c r="K41" s="14" t="n">
        <f aca="false">Sessions!$N$8*MAX(0,MIN($C41,Sessions!$O$8)-MAX($B41,Sessions!$M$8))*24</f>
        <v>0</v>
      </c>
      <c r="L41" s="14" t="n">
        <f aca="false">IF(Sessions!$L$4="Yes",Sessions!$I$4*MAX(0,MIN($C41,Sessions!$K$4)-MAX($B41,Sessions!$C$4))*24,G41)</f>
        <v>0</v>
      </c>
      <c r="M41" s="14" t="n">
        <f aca="false">IF(Sessions!$L$5="Yes",Sessions!$I$5*MAX(0,MIN($C41,Sessions!$K$5)-MAX($B41,Sessions!$C$5))*24,H41)</f>
        <v>0</v>
      </c>
      <c r="N41" s="14" t="n">
        <f aca="false">IF(Sessions!$L$6="Yes",Sessions!$I$6*MAX(0,MIN($C41,Sessions!$K$6)-MAX($B41,Sessions!$C$6))*24,I41)</f>
        <v>0</v>
      </c>
      <c r="O41" s="14" t="n">
        <f aca="false">IF(Sessions!$L$7="Yes",Sessions!$I$7*MAX(0,MIN($C41,Sessions!$K$7)-MAX($B41,Sessions!$C$7))*24,J41)</f>
        <v>0</v>
      </c>
      <c r="P41" s="14" t="n">
        <f aca="false">IF(Sessions!$L$8="Yes",Sessions!$I$8*MAX(0,MIN($C41,Sessions!$K$8)-MAX($B41,Sessions!$C$8))*24,K41)</f>
        <v>0</v>
      </c>
      <c r="Q41" s="15" t="n">
        <f aca="false">SUM(G41:K41)</f>
        <v>6.25</v>
      </c>
      <c r="R41" s="15" t="n">
        <f aca="false">SUM(L41:P41)</f>
        <v>0</v>
      </c>
      <c r="S41" s="15" t="n">
        <f aca="false">MAX(0,F41-Q41)</f>
        <v>0.75</v>
      </c>
      <c r="T41" s="15" t="n">
        <f aca="false">F41/Inputs!$B$4</f>
        <v>28</v>
      </c>
      <c r="U41" s="15" t="n">
        <f aca="false">(S41+R41)/Inputs!$B$4</f>
        <v>3</v>
      </c>
      <c r="V41" s="15" t="n">
        <f aca="false">MAX(0,R41-Q41)</f>
        <v>0</v>
      </c>
    </row>
    <row r="42" customFormat="false" ht="15" hidden="false" customHeight="false" outlineLevel="0" collapsed="false">
      <c r="A42" s="2" t="n">
        <v>39</v>
      </c>
      <c r="B42" s="11" t="n">
        <v>46308.0625</v>
      </c>
      <c r="C42" s="13" t="n">
        <f aca="false">B42+1/96</f>
        <v>46308.0729166667</v>
      </c>
      <c r="D42" s="10" t="n">
        <v>0.2</v>
      </c>
      <c r="E42" s="10" t="n">
        <v>0.33</v>
      </c>
      <c r="F42" s="5" t="n">
        <v>7</v>
      </c>
      <c r="G42" s="14" t="n">
        <f aca="false">Sessions!$N$4*MAX(0,MIN($C42,Sessions!$O$4)-MAX($B42,Sessions!$M$4))*24</f>
        <v>1.5</v>
      </c>
      <c r="H42" s="14" t="n">
        <f aca="false">Sessions!$N$5*MAX(0,MIN($C42,Sessions!$O$5)-MAX($B42,Sessions!$M$5))*24</f>
        <v>1.5</v>
      </c>
      <c r="I42" s="14" t="n">
        <f aca="false">Sessions!$N$6*MAX(0,MIN($C42,Sessions!$O$6)-MAX($B42,Sessions!$M$6))*24</f>
        <v>1.25</v>
      </c>
      <c r="J42" s="14" t="n">
        <f aca="false">Sessions!$N$7*MAX(0,MIN($C42,Sessions!$O$7)-MAX($B42,Sessions!$M$7))*24</f>
        <v>2</v>
      </c>
      <c r="K42" s="14" t="n">
        <f aca="false">Sessions!$N$8*MAX(0,MIN($C42,Sessions!$O$8)-MAX($B42,Sessions!$M$8))*24</f>
        <v>0</v>
      </c>
      <c r="L42" s="14" t="n">
        <f aca="false">IF(Sessions!$L$4="Yes",Sessions!$I$4*MAX(0,MIN($C42,Sessions!$K$4)-MAX($B42,Sessions!$C$4))*24,G42)</f>
        <v>0</v>
      </c>
      <c r="M42" s="14" t="n">
        <f aca="false">IF(Sessions!$L$5="Yes",Sessions!$I$5*MAX(0,MIN($C42,Sessions!$K$5)-MAX($B42,Sessions!$C$5))*24,H42)</f>
        <v>0</v>
      </c>
      <c r="N42" s="14" t="n">
        <f aca="false">IF(Sessions!$L$6="Yes",Sessions!$I$6*MAX(0,MIN($C42,Sessions!$K$6)-MAX($B42,Sessions!$C$6))*24,I42)</f>
        <v>0</v>
      </c>
      <c r="O42" s="14" t="n">
        <f aca="false">IF(Sessions!$L$7="Yes",Sessions!$I$7*MAX(0,MIN($C42,Sessions!$K$7)-MAX($B42,Sessions!$C$7))*24,J42)</f>
        <v>0</v>
      </c>
      <c r="P42" s="14" t="n">
        <f aca="false">IF(Sessions!$L$8="Yes",Sessions!$I$8*MAX(0,MIN($C42,Sessions!$K$8)-MAX($B42,Sessions!$C$8))*24,K42)</f>
        <v>0</v>
      </c>
      <c r="Q42" s="15" t="n">
        <f aca="false">SUM(G42:K42)</f>
        <v>6.25</v>
      </c>
      <c r="R42" s="15" t="n">
        <f aca="false">SUM(L42:P42)</f>
        <v>0</v>
      </c>
      <c r="S42" s="15" t="n">
        <f aca="false">MAX(0,F42-Q42)</f>
        <v>0.75</v>
      </c>
      <c r="T42" s="15" t="n">
        <f aca="false">F42/Inputs!$B$4</f>
        <v>28</v>
      </c>
      <c r="U42" s="15" t="n">
        <f aca="false">(S42+R42)/Inputs!$B$4</f>
        <v>3</v>
      </c>
      <c r="V42" s="15" t="n">
        <f aca="false">MAX(0,R42-Q42)</f>
        <v>0</v>
      </c>
    </row>
    <row r="43" customFormat="false" ht="15" hidden="false" customHeight="false" outlineLevel="0" collapsed="false">
      <c r="A43" s="2" t="n">
        <v>40</v>
      </c>
      <c r="B43" s="11" t="n">
        <v>46308.0729166667</v>
      </c>
      <c r="C43" s="13" t="n">
        <f aca="false">B43+1/96</f>
        <v>46308.0833333333</v>
      </c>
      <c r="D43" s="10" t="n">
        <v>0.2</v>
      </c>
      <c r="E43" s="10" t="n">
        <v>0.33</v>
      </c>
      <c r="F43" s="5" t="n">
        <v>7</v>
      </c>
      <c r="G43" s="14" t="n">
        <f aca="false">Sessions!$N$4*MAX(0,MIN($C43,Sessions!$O$4)-MAX($B43,Sessions!$M$4))*24</f>
        <v>1.5</v>
      </c>
      <c r="H43" s="14" t="n">
        <f aca="false">Sessions!$N$5*MAX(0,MIN($C43,Sessions!$O$5)-MAX($B43,Sessions!$M$5))*24</f>
        <v>1.5</v>
      </c>
      <c r="I43" s="14" t="n">
        <f aca="false">Sessions!$N$6*MAX(0,MIN($C43,Sessions!$O$6)-MAX($B43,Sessions!$M$6))*24</f>
        <v>1.25</v>
      </c>
      <c r="J43" s="14" t="n">
        <f aca="false">Sessions!$N$7*MAX(0,MIN($C43,Sessions!$O$7)-MAX($B43,Sessions!$M$7))*24</f>
        <v>2</v>
      </c>
      <c r="K43" s="14" t="n">
        <f aca="false">Sessions!$N$8*MAX(0,MIN($C43,Sessions!$O$8)-MAX($B43,Sessions!$M$8))*24</f>
        <v>0</v>
      </c>
      <c r="L43" s="14" t="n">
        <f aca="false">IF(Sessions!$L$4="Yes",Sessions!$I$4*MAX(0,MIN($C43,Sessions!$K$4)-MAX($B43,Sessions!$C$4))*24,G43)</f>
        <v>0</v>
      </c>
      <c r="M43" s="14" t="n">
        <f aca="false">IF(Sessions!$L$5="Yes",Sessions!$I$5*MAX(0,MIN($C43,Sessions!$K$5)-MAX($B43,Sessions!$C$5))*24,H43)</f>
        <v>0</v>
      </c>
      <c r="N43" s="14" t="n">
        <f aca="false">IF(Sessions!$L$6="Yes",Sessions!$I$6*MAX(0,MIN($C43,Sessions!$K$6)-MAX($B43,Sessions!$C$6))*24,I43)</f>
        <v>0</v>
      </c>
      <c r="O43" s="14" t="n">
        <f aca="false">IF(Sessions!$L$7="Yes",Sessions!$I$7*MAX(0,MIN($C43,Sessions!$K$7)-MAX($B43,Sessions!$C$7))*24,J43)</f>
        <v>0</v>
      </c>
      <c r="P43" s="14" t="n">
        <f aca="false">IF(Sessions!$L$8="Yes",Sessions!$I$8*MAX(0,MIN($C43,Sessions!$K$8)-MAX($B43,Sessions!$C$8))*24,K43)</f>
        <v>0</v>
      </c>
      <c r="Q43" s="15" t="n">
        <f aca="false">SUM(G43:K43)</f>
        <v>6.25</v>
      </c>
      <c r="R43" s="15" t="n">
        <f aca="false">SUM(L43:P43)</f>
        <v>0</v>
      </c>
      <c r="S43" s="15" t="n">
        <f aca="false">MAX(0,F43-Q43)</f>
        <v>0.75</v>
      </c>
      <c r="T43" s="15" t="n">
        <f aca="false">F43/Inputs!$B$4</f>
        <v>28</v>
      </c>
      <c r="U43" s="15" t="n">
        <f aca="false">(S43+R43)/Inputs!$B$4</f>
        <v>3</v>
      </c>
      <c r="V43" s="15" t="n">
        <f aca="false">MAX(0,R43-Q43)</f>
        <v>0</v>
      </c>
    </row>
    <row r="44" customFormat="false" ht="15" hidden="false" customHeight="false" outlineLevel="0" collapsed="false">
      <c r="A44" s="2" t="n">
        <v>41</v>
      </c>
      <c r="B44" s="11" t="n">
        <v>46308.0833333333</v>
      </c>
      <c r="C44" s="13" t="n">
        <f aca="false">B44+1/96</f>
        <v>46308.09375</v>
      </c>
      <c r="D44" s="10" t="n">
        <v>0.2</v>
      </c>
      <c r="E44" s="10" t="n">
        <v>0.33</v>
      </c>
      <c r="F44" s="5" t="n">
        <v>5.75</v>
      </c>
      <c r="G44" s="14" t="n">
        <f aca="false">Sessions!$N$4*MAX(0,MIN($C44,Sessions!$O$4)-MAX($B44,Sessions!$M$4))*24</f>
        <v>1.5</v>
      </c>
      <c r="H44" s="14" t="n">
        <f aca="false">Sessions!$N$5*MAX(0,MIN($C44,Sessions!$O$5)-MAX($B44,Sessions!$M$5))*24</f>
        <v>1.5</v>
      </c>
      <c r="I44" s="14" t="n">
        <f aca="false">Sessions!$N$6*MAX(0,MIN($C44,Sessions!$O$6)-MAX($B44,Sessions!$M$6))*24</f>
        <v>0</v>
      </c>
      <c r="J44" s="14" t="n">
        <f aca="false">Sessions!$N$7*MAX(0,MIN($C44,Sessions!$O$7)-MAX($B44,Sessions!$M$7))*24</f>
        <v>2</v>
      </c>
      <c r="K44" s="14" t="n">
        <f aca="false">Sessions!$N$8*MAX(0,MIN($C44,Sessions!$O$8)-MAX($B44,Sessions!$M$8))*24</f>
        <v>0</v>
      </c>
      <c r="L44" s="14" t="n">
        <f aca="false">IF(Sessions!$L$4="Yes",Sessions!$I$4*MAX(0,MIN($C44,Sessions!$K$4)-MAX($B44,Sessions!$C$4))*24,G44)</f>
        <v>0</v>
      </c>
      <c r="M44" s="14" t="n">
        <f aca="false">IF(Sessions!$L$5="Yes",Sessions!$I$5*MAX(0,MIN($C44,Sessions!$K$5)-MAX($B44,Sessions!$C$5))*24,H44)</f>
        <v>0</v>
      </c>
      <c r="N44" s="14" t="n">
        <f aca="false">IF(Sessions!$L$6="Yes",Sessions!$I$6*MAX(0,MIN($C44,Sessions!$K$6)-MAX($B44,Sessions!$C$6))*24,I44)</f>
        <v>0</v>
      </c>
      <c r="O44" s="14" t="n">
        <f aca="false">IF(Sessions!$L$7="Yes",Sessions!$I$7*MAX(0,MIN($C44,Sessions!$K$7)-MAX($B44,Sessions!$C$7))*24,J44)</f>
        <v>0</v>
      </c>
      <c r="P44" s="14" t="n">
        <f aca="false">IF(Sessions!$L$8="Yes",Sessions!$I$8*MAX(0,MIN($C44,Sessions!$K$8)-MAX($B44,Sessions!$C$8))*24,K44)</f>
        <v>0</v>
      </c>
      <c r="Q44" s="15" t="n">
        <f aca="false">SUM(G44:K44)</f>
        <v>5</v>
      </c>
      <c r="R44" s="15" t="n">
        <f aca="false">SUM(L44:P44)</f>
        <v>0</v>
      </c>
      <c r="S44" s="15" t="n">
        <f aca="false">MAX(0,F44-Q44)</f>
        <v>0.75</v>
      </c>
      <c r="T44" s="15" t="n">
        <f aca="false">F44/Inputs!$B$4</f>
        <v>23</v>
      </c>
      <c r="U44" s="15" t="n">
        <f aca="false">(S44+R44)/Inputs!$B$4</f>
        <v>3</v>
      </c>
      <c r="V44" s="15" t="n">
        <f aca="false">MAX(0,R44-Q44)</f>
        <v>0</v>
      </c>
    </row>
    <row r="45" customFormat="false" ht="15" hidden="false" customHeight="false" outlineLevel="0" collapsed="false">
      <c r="A45" s="2" t="n">
        <v>42</v>
      </c>
      <c r="B45" s="11" t="n">
        <v>46308.09375</v>
      </c>
      <c r="C45" s="13" t="n">
        <f aca="false">B45+1/96</f>
        <v>46308.1041666667</v>
      </c>
      <c r="D45" s="10" t="n">
        <v>0.2</v>
      </c>
      <c r="E45" s="10" t="n">
        <v>0.33</v>
      </c>
      <c r="F45" s="5" t="n">
        <v>5.75</v>
      </c>
      <c r="G45" s="14" t="n">
        <f aca="false">Sessions!$N$4*MAX(0,MIN($C45,Sessions!$O$4)-MAX($B45,Sessions!$M$4))*24</f>
        <v>1.5</v>
      </c>
      <c r="H45" s="14" t="n">
        <f aca="false">Sessions!$N$5*MAX(0,MIN($C45,Sessions!$O$5)-MAX($B45,Sessions!$M$5))*24</f>
        <v>1.5</v>
      </c>
      <c r="I45" s="14" t="n">
        <f aca="false">Sessions!$N$6*MAX(0,MIN($C45,Sessions!$O$6)-MAX($B45,Sessions!$M$6))*24</f>
        <v>0</v>
      </c>
      <c r="J45" s="14" t="n">
        <f aca="false">Sessions!$N$7*MAX(0,MIN($C45,Sessions!$O$7)-MAX($B45,Sessions!$M$7))*24</f>
        <v>2</v>
      </c>
      <c r="K45" s="14" t="n">
        <f aca="false">Sessions!$N$8*MAX(0,MIN($C45,Sessions!$O$8)-MAX($B45,Sessions!$M$8))*24</f>
        <v>0</v>
      </c>
      <c r="L45" s="14" t="n">
        <f aca="false">IF(Sessions!$L$4="Yes",Sessions!$I$4*MAX(0,MIN($C45,Sessions!$K$4)-MAX($B45,Sessions!$C$4))*24,G45)</f>
        <v>0</v>
      </c>
      <c r="M45" s="14" t="n">
        <f aca="false">IF(Sessions!$L$5="Yes",Sessions!$I$5*MAX(0,MIN($C45,Sessions!$K$5)-MAX($B45,Sessions!$C$5))*24,H45)</f>
        <v>0</v>
      </c>
      <c r="N45" s="14" t="n">
        <f aca="false">IF(Sessions!$L$6="Yes",Sessions!$I$6*MAX(0,MIN($C45,Sessions!$K$6)-MAX($B45,Sessions!$C$6))*24,I45)</f>
        <v>0</v>
      </c>
      <c r="O45" s="14" t="n">
        <f aca="false">IF(Sessions!$L$7="Yes",Sessions!$I$7*MAX(0,MIN($C45,Sessions!$K$7)-MAX($B45,Sessions!$C$7))*24,J45)</f>
        <v>0</v>
      </c>
      <c r="P45" s="14" t="n">
        <f aca="false">IF(Sessions!$L$8="Yes",Sessions!$I$8*MAX(0,MIN($C45,Sessions!$K$8)-MAX($B45,Sessions!$C$8))*24,K45)</f>
        <v>0</v>
      </c>
      <c r="Q45" s="15" t="n">
        <f aca="false">SUM(G45:K45)</f>
        <v>5</v>
      </c>
      <c r="R45" s="15" t="n">
        <f aca="false">SUM(L45:P45)</f>
        <v>0</v>
      </c>
      <c r="S45" s="15" t="n">
        <f aca="false">MAX(0,F45-Q45)</f>
        <v>0.75</v>
      </c>
      <c r="T45" s="15" t="n">
        <f aca="false">F45/Inputs!$B$4</f>
        <v>23</v>
      </c>
      <c r="U45" s="15" t="n">
        <f aca="false">(S45+R45)/Inputs!$B$4</f>
        <v>3</v>
      </c>
      <c r="V45" s="15" t="n">
        <f aca="false">MAX(0,R45-Q45)</f>
        <v>0</v>
      </c>
    </row>
    <row r="46" customFormat="false" ht="15" hidden="false" customHeight="false" outlineLevel="0" collapsed="false">
      <c r="A46" s="2" t="n">
        <v>43</v>
      </c>
      <c r="B46" s="11" t="n">
        <v>46308.1041666667</v>
      </c>
      <c r="C46" s="13" t="n">
        <f aca="false">B46+1/96</f>
        <v>46308.1145833333</v>
      </c>
      <c r="D46" s="10" t="n">
        <v>0.2</v>
      </c>
      <c r="E46" s="10" t="n">
        <v>0.33</v>
      </c>
      <c r="F46" s="5" t="n">
        <v>5.75</v>
      </c>
      <c r="G46" s="14" t="n">
        <f aca="false">Sessions!$N$4*MAX(0,MIN($C46,Sessions!$O$4)-MAX($B46,Sessions!$M$4))*24</f>
        <v>1.5</v>
      </c>
      <c r="H46" s="14" t="n">
        <f aca="false">Sessions!$N$5*MAX(0,MIN($C46,Sessions!$O$5)-MAX($B46,Sessions!$M$5))*24</f>
        <v>1.5</v>
      </c>
      <c r="I46" s="14" t="n">
        <f aca="false">Sessions!$N$6*MAX(0,MIN($C46,Sessions!$O$6)-MAX($B46,Sessions!$M$6))*24</f>
        <v>0</v>
      </c>
      <c r="J46" s="14" t="n">
        <f aca="false">Sessions!$N$7*MAX(0,MIN($C46,Sessions!$O$7)-MAX($B46,Sessions!$M$7))*24</f>
        <v>2</v>
      </c>
      <c r="K46" s="14" t="n">
        <f aca="false">Sessions!$N$8*MAX(0,MIN($C46,Sessions!$O$8)-MAX($B46,Sessions!$M$8))*24</f>
        <v>0</v>
      </c>
      <c r="L46" s="14" t="n">
        <f aca="false">IF(Sessions!$L$4="Yes",Sessions!$I$4*MAX(0,MIN($C46,Sessions!$K$4)-MAX($B46,Sessions!$C$4))*24,G46)</f>
        <v>0</v>
      </c>
      <c r="M46" s="14" t="n">
        <f aca="false">IF(Sessions!$L$5="Yes",Sessions!$I$5*MAX(0,MIN($C46,Sessions!$K$5)-MAX($B46,Sessions!$C$5))*24,H46)</f>
        <v>0</v>
      </c>
      <c r="N46" s="14" t="n">
        <f aca="false">IF(Sessions!$L$6="Yes",Sessions!$I$6*MAX(0,MIN($C46,Sessions!$K$6)-MAX($B46,Sessions!$C$6))*24,I46)</f>
        <v>0</v>
      </c>
      <c r="O46" s="14" t="n">
        <f aca="false">IF(Sessions!$L$7="Yes",Sessions!$I$7*MAX(0,MIN($C46,Sessions!$K$7)-MAX($B46,Sessions!$C$7))*24,J46)</f>
        <v>0</v>
      </c>
      <c r="P46" s="14" t="n">
        <f aca="false">IF(Sessions!$L$8="Yes",Sessions!$I$8*MAX(0,MIN($C46,Sessions!$K$8)-MAX($B46,Sessions!$C$8))*24,K46)</f>
        <v>0</v>
      </c>
      <c r="Q46" s="15" t="n">
        <f aca="false">SUM(G46:K46)</f>
        <v>5</v>
      </c>
      <c r="R46" s="15" t="n">
        <f aca="false">SUM(L46:P46)</f>
        <v>0</v>
      </c>
      <c r="S46" s="15" t="n">
        <f aca="false">MAX(0,F46-Q46)</f>
        <v>0.75</v>
      </c>
      <c r="T46" s="15" t="n">
        <f aca="false">F46/Inputs!$B$4</f>
        <v>23</v>
      </c>
      <c r="U46" s="15" t="n">
        <f aca="false">(S46+R46)/Inputs!$B$4</f>
        <v>3</v>
      </c>
      <c r="V46" s="15" t="n">
        <f aca="false">MAX(0,R46-Q46)</f>
        <v>0</v>
      </c>
    </row>
    <row r="47" customFormat="false" ht="15" hidden="false" customHeight="false" outlineLevel="0" collapsed="false">
      <c r="A47" s="2" t="n">
        <v>44</v>
      </c>
      <c r="B47" s="11" t="n">
        <v>46308.1145833333</v>
      </c>
      <c r="C47" s="13" t="n">
        <f aca="false">B47+1/96</f>
        <v>46308.125</v>
      </c>
      <c r="D47" s="10" t="n">
        <v>0.2</v>
      </c>
      <c r="E47" s="10" t="n">
        <v>0.33</v>
      </c>
      <c r="F47" s="5" t="n">
        <v>5.75</v>
      </c>
      <c r="G47" s="14" t="n">
        <f aca="false">Sessions!$N$4*MAX(0,MIN($C47,Sessions!$O$4)-MAX($B47,Sessions!$M$4))*24</f>
        <v>1.5</v>
      </c>
      <c r="H47" s="14" t="n">
        <f aca="false">Sessions!$N$5*MAX(0,MIN($C47,Sessions!$O$5)-MAX($B47,Sessions!$M$5))*24</f>
        <v>1.5</v>
      </c>
      <c r="I47" s="14" t="n">
        <f aca="false">Sessions!$N$6*MAX(0,MIN($C47,Sessions!$O$6)-MAX($B47,Sessions!$M$6))*24</f>
        <v>0</v>
      </c>
      <c r="J47" s="14" t="n">
        <f aca="false">Sessions!$N$7*MAX(0,MIN($C47,Sessions!$O$7)-MAX($B47,Sessions!$M$7))*24</f>
        <v>2</v>
      </c>
      <c r="K47" s="14" t="n">
        <f aca="false">Sessions!$N$8*MAX(0,MIN($C47,Sessions!$O$8)-MAX($B47,Sessions!$M$8))*24</f>
        <v>0</v>
      </c>
      <c r="L47" s="14" t="n">
        <f aca="false">IF(Sessions!$L$4="Yes",Sessions!$I$4*MAX(0,MIN($C47,Sessions!$K$4)-MAX($B47,Sessions!$C$4))*24,G47)</f>
        <v>0</v>
      </c>
      <c r="M47" s="14" t="n">
        <f aca="false">IF(Sessions!$L$5="Yes",Sessions!$I$5*MAX(0,MIN($C47,Sessions!$K$5)-MAX($B47,Sessions!$C$5))*24,H47)</f>
        <v>0</v>
      </c>
      <c r="N47" s="14" t="n">
        <f aca="false">IF(Sessions!$L$6="Yes",Sessions!$I$6*MAX(0,MIN($C47,Sessions!$K$6)-MAX($B47,Sessions!$C$6))*24,I47)</f>
        <v>0</v>
      </c>
      <c r="O47" s="14" t="n">
        <f aca="false">IF(Sessions!$L$7="Yes",Sessions!$I$7*MAX(0,MIN($C47,Sessions!$K$7)-MAX($B47,Sessions!$C$7))*24,J47)</f>
        <v>0</v>
      </c>
      <c r="P47" s="14" t="n">
        <f aca="false">IF(Sessions!$L$8="Yes",Sessions!$I$8*MAX(0,MIN($C47,Sessions!$K$8)-MAX($B47,Sessions!$C$8))*24,K47)</f>
        <v>0</v>
      </c>
      <c r="Q47" s="15" t="n">
        <f aca="false">SUM(G47:K47)</f>
        <v>5</v>
      </c>
      <c r="R47" s="15" t="n">
        <f aca="false">SUM(L47:P47)</f>
        <v>0</v>
      </c>
      <c r="S47" s="15" t="n">
        <f aca="false">MAX(0,F47-Q47)</f>
        <v>0.75</v>
      </c>
      <c r="T47" s="15" t="n">
        <f aca="false">F47/Inputs!$B$4</f>
        <v>23</v>
      </c>
      <c r="U47" s="15" t="n">
        <f aca="false">(S47+R47)/Inputs!$B$4</f>
        <v>3</v>
      </c>
      <c r="V47" s="15" t="n">
        <f aca="false">MAX(0,R47-Q47)</f>
        <v>0</v>
      </c>
    </row>
    <row r="48" customFormat="false" ht="15" hidden="false" customHeight="false" outlineLevel="0" collapsed="false">
      <c r="A48" s="2" t="n">
        <v>45</v>
      </c>
      <c r="B48" s="11" t="n">
        <v>46308.125</v>
      </c>
      <c r="C48" s="13" t="n">
        <f aca="false">B48+1/96</f>
        <v>46308.1354166667</v>
      </c>
      <c r="D48" s="10" t="n">
        <v>0.2</v>
      </c>
      <c r="E48" s="10" t="n">
        <v>0.33</v>
      </c>
      <c r="F48" s="5" t="n">
        <v>5.75</v>
      </c>
      <c r="G48" s="14" t="n">
        <f aca="false">Sessions!$N$4*MAX(0,MIN($C48,Sessions!$O$4)-MAX($B48,Sessions!$M$4))*24</f>
        <v>1.5</v>
      </c>
      <c r="H48" s="14" t="n">
        <f aca="false">Sessions!$N$5*MAX(0,MIN($C48,Sessions!$O$5)-MAX($B48,Sessions!$M$5))*24</f>
        <v>1.5</v>
      </c>
      <c r="I48" s="14" t="n">
        <f aca="false">Sessions!$N$6*MAX(0,MIN($C48,Sessions!$O$6)-MAX($B48,Sessions!$M$6))*24</f>
        <v>0</v>
      </c>
      <c r="J48" s="14" t="n">
        <f aca="false">Sessions!$N$7*MAX(0,MIN($C48,Sessions!$O$7)-MAX($B48,Sessions!$M$7))*24</f>
        <v>2</v>
      </c>
      <c r="K48" s="14" t="n">
        <f aca="false">Sessions!$N$8*MAX(0,MIN($C48,Sessions!$O$8)-MAX($B48,Sessions!$M$8))*24</f>
        <v>0</v>
      </c>
      <c r="L48" s="14" t="n">
        <f aca="false">IF(Sessions!$L$4="Yes",Sessions!$I$4*MAX(0,MIN($C48,Sessions!$K$4)-MAX($B48,Sessions!$C$4))*24,G48)</f>
        <v>0</v>
      </c>
      <c r="M48" s="14" t="n">
        <f aca="false">IF(Sessions!$L$5="Yes",Sessions!$I$5*MAX(0,MIN($C48,Sessions!$K$5)-MAX($B48,Sessions!$C$5))*24,H48)</f>
        <v>0</v>
      </c>
      <c r="N48" s="14" t="n">
        <f aca="false">IF(Sessions!$L$6="Yes",Sessions!$I$6*MAX(0,MIN($C48,Sessions!$K$6)-MAX($B48,Sessions!$C$6))*24,I48)</f>
        <v>0</v>
      </c>
      <c r="O48" s="14" t="n">
        <f aca="false">IF(Sessions!$L$7="Yes",Sessions!$I$7*MAX(0,MIN($C48,Sessions!$K$7)-MAX($B48,Sessions!$C$7))*24,J48)</f>
        <v>0</v>
      </c>
      <c r="P48" s="14" t="n">
        <f aca="false">IF(Sessions!$L$8="Yes",Sessions!$I$8*MAX(0,MIN($C48,Sessions!$K$8)-MAX($B48,Sessions!$C$8))*24,K48)</f>
        <v>0</v>
      </c>
      <c r="Q48" s="15" t="n">
        <f aca="false">SUM(G48:K48)</f>
        <v>5</v>
      </c>
      <c r="R48" s="15" t="n">
        <f aca="false">SUM(L48:P48)</f>
        <v>0</v>
      </c>
      <c r="S48" s="15" t="n">
        <f aca="false">MAX(0,F48-Q48)</f>
        <v>0.75</v>
      </c>
      <c r="T48" s="15" t="n">
        <f aca="false">F48/Inputs!$B$4</f>
        <v>23</v>
      </c>
      <c r="U48" s="15" t="n">
        <f aca="false">(S48+R48)/Inputs!$B$4</f>
        <v>3</v>
      </c>
      <c r="V48" s="15" t="n">
        <f aca="false">MAX(0,R48-Q48)</f>
        <v>0</v>
      </c>
    </row>
    <row r="49" customFormat="false" ht="15" hidden="false" customHeight="false" outlineLevel="0" collapsed="false">
      <c r="A49" s="2" t="n">
        <v>46</v>
      </c>
      <c r="B49" s="11" t="n">
        <v>46308.1354166667</v>
      </c>
      <c r="C49" s="13" t="n">
        <f aca="false">B49+1/96</f>
        <v>46308.1458333333</v>
      </c>
      <c r="D49" s="10" t="n">
        <v>0.2</v>
      </c>
      <c r="E49" s="10" t="n">
        <v>0.33</v>
      </c>
      <c r="F49" s="5" t="n">
        <v>5.75</v>
      </c>
      <c r="G49" s="14" t="n">
        <f aca="false">Sessions!$N$4*MAX(0,MIN($C49,Sessions!$O$4)-MAX($B49,Sessions!$M$4))*24</f>
        <v>1.5</v>
      </c>
      <c r="H49" s="14" t="n">
        <f aca="false">Sessions!$N$5*MAX(0,MIN($C49,Sessions!$O$5)-MAX($B49,Sessions!$M$5))*24</f>
        <v>1.5</v>
      </c>
      <c r="I49" s="14" t="n">
        <f aca="false">Sessions!$N$6*MAX(0,MIN($C49,Sessions!$O$6)-MAX($B49,Sessions!$M$6))*24</f>
        <v>0</v>
      </c>
      <c r="J49" s="14" t="n">
        <f aca="false">Sessions!$N$7*MAX(0,MIN($C49,Sessions!$O$7)-MAX($B49,Sessions!$M$7))*24</f>
        <v>2</v>
      </c>
      <c r="K49" s="14" t="n">
        <f aca="false">Sessions!$N$8*MAX(0,MIN($C49,Sessions!$O$8)-MAX($B49,Sessions!$M$8))*24</f>
        <v>0</v>
      </c>
      <c r="L49" s="14" t="n">
        <f aca="false">IF(Sessions!$L$4="Yes",Sessions!$I$4*MAX(0,MIN($C49,Sessions!$K$4)-MAX($B49,Sessions!$C$4))*24,G49)</f>
        <v>0</v>
      </c>
      <c r="M49" s="14" t="n">
        <f aca="false">IF(Sessions!$L$5="Yes",Sessions!$I$5*MAX(0,MIN($C49,Sessions!$K$5)-MAX($B49,Sessions!$C$5))*24,H49)</f>
        <v>0</v>
      </c>
      <c r="N49" s="14" t="n">
        <f aca="false">IF(Sessions!$L$6="Yes",Sessions!$I$6*MAX(0,MIN($C49,Sessions!$K$6)-MAX($B49,Sessions!$C$6))*24,I49)</f>
        <v>0</v>
      </c>
      <c r="O49" s="14" t="n">
        <f aca="false">IF(Sessions!$L$7="Yes",Sessions!$I$7*MAX(0,MIN($C49,Sessions!$K$7)-MAX($B49,Sessions!$C$7))*24,J49)</f>
        <v>0</v>
      </c>
      <c r="P49" s="14" t="n">
        <f aca="false">IF(Sessions!$L$8="Yes",Sessions!$I$8*MAX(0,MIN($C49,Sessions!$K$8)-MAX($B49,Sessions!$C$8))*24,K49)</f>
        <v>0</v>
      </c>
      <c r="Q49" s="15" t="n">
        <f aca="false">SUM(G49:K49)</f>
        <v>5</v>
      </c>
      <c r="R49" s="15" t="n">
        <f aca="false">SUM(L49:P49)</f>
        <v>0</v>
      </c>
      <c r="S49" s="15" t="n">
        <f aca="false">MAX(0,F49-Q49)</f>
        <v>0.75</v>
      </c>
      <c r="T49" s="15" t="n">
        <f aca="false">F49/Inputs!$B$4</f>
        <v>23</v>
      </c>
      <c r="U49" s="15" t="n">
        <f aca="false">(S49+R49)/Inputs!$B$4</f>
        <v>3</v>
      </c>
      <c r="V49" s="15" t="n">
        <f aca="false">MAX(0,R49-Q49)</f>
        <v>0</v>
      </c>
    </row>
    <row r="50" customFormat="false" ht="15" hidden="false" customHeight="false" outlineLevel="0" collapsed="false">
      <c r="A50" s="2" t="n">
        <v>47</v>
      </c>
      <c r="B50" s="11" t="n">
        <v>46308.1458333333</v>
      </c>
      <c r="C50" s="13" t="n">
        <f aca="false">B50+1/96</f>
        <v>46308.15625</v>
      </c>
      <c r="D50" s="10" t="n">
        <v>0.2</v>
      </c>
      <c r="E50" s="10" t="n">
        <v>0.33</v>
      </c>
      <c r="F50" s="5" t="n">
        <v>5.75</v>
      </c>
      <c r="G50" s="14" t="n">
        <f aca="false">Sessions!$N$4*MAX(0,MIN($C50,Sessions!$O$4)-MAX($B50,Sessions!$M$4))*24</f>
        <v>1.5</v>
      </c>
      <c r="H50" s="14" t="n">
        <f aca="false">Sessions!$N$5*MAX(0,MIN($C50,Sessions!$O$5)-MAX($B50,Sessions!$M$5))*24</f>
        <v>1.5</v>
      </c>
      <c r="I50" s="14" t="n">
        <f aca="false">Sessions!$N$6*MAX(0,MIN($C50,Sessions!$O$6)-MAX($B50,Sessions!$M$6))*24</f>
        <v>0</v>
      </c>
      <c r="J50" s="14" t="n">
        <f aca="false">Sessions!$N$7*MAX(0,MIN($C50,Sessions!$O$7)-MAX($B50,Sessions!$M$7))*24</f>
        <v>2</v>
      </c>
      <c r="K50" s="14" t="n">
        <f aca="false">Sessions!$N$8*MAX(0,MIN($C50,Sessions!$O$8)-MAX($B50,Sessions!$M$8))*24</f>
        <v>0</v>
      </c>
      <c r="L50" s="14" t="n">
        <f aca="false">IF(Sessions!$L$4="Yes",Sessions!$I$4*MAX(0,MIN($C50,Sessions!$K$4)-MAX($B50,Sessions!$C$4))*24,G50)</f>
        <v>0</v>
      </c>
      <c r="M50" s="14" t="n">
        <f aca="false">IF(Sessions!$L$5="Yes",Sessions!$I$5*MAX(0,MIN($C50,Sessions!$K$5)-MAX($B50,Sessions!$C$5))*24,H50)</f>
        <v>0</v>
      </c>
      <c r="N50" s="14" t="n">
        <f aca="false">IF(Sessions!$L$6="Yes",Sessions!$I$6*MAX(0,MIN($C50,Sessions!$K$6)-MAX($B50,Sessions!$C$6))*24,I50)</f>
        <v>0</v>
      </c>
      <c r="O50" s="14" t="n">
        <f aca="false">IF(Sessions!$L$7="Yes",Sessions!$I$7*MAX(0,MIN($C50,Sessions!$K$7)-MAX($B50,Sessions!$C$7))*24,J50)</f>
        <v>0</v>
      </c>
      <c r="P50" s="14" t="n">
        <f aca="false">IF(Sessions!$L$8="Yes",Sessions!$I$8*MAX(0,MIN($C50,Sessions!$K$8)-MAX($B50,Sessions!$C$8))*24,K50)</f>
        <v>0</v>
      </c>
      <c r="Q50" s="15" t="n">
        <f aca="false">SUM(G50:K50)</f>
        <v>5</v>
      </c>
      <c r="R50" s="15" t="n">
        <f aca="false">SUM(L50:P50)</f>
        <v>0</v>
      </c>
      <c r="S50" s="15" t="n">
        <f aca="false">MAX(0,F50-Q50)</f>
        <v>0.75</v>
      </c>
      <c r="T50" s="15" t="n">
        <f aca="false">F50/Inputs!$B$4</f>
        <v>23</v>
      </c>
      <c r="U50" s="15" t="n">
        <f aca="false">(S50+R50)/Inputs!$B$4</f>
        <v>3</v>
      </c>
      <c r="V50" s="15" t="n">
        <f aca="false">MAX(0,R50-Q50)</f>
        <v>0</v>
      </c>
    </row>
    <row r="51" customFormat="false" ht="15" hidden="false" customHeight="false" outlineLevel="0" collapsed="false">
      <c r="A51" s="2" t="n">
        <v>48</v>
      </c>
      <c r="B51" s="11" t="n">
        <v>46308.15625</v>
      </c>
      <c r="C51" s="13" t="n">
        <f aca="false">B51+1/96</f>
        <v>46308.1666666667</v>
      </c>
      <c r="D51" s="10" t="n">
        <v>0.2</v>
      </c>
      <c r="E51" s="10" t="n">
        <v>0.33</v>
      </c>
      <c r="F51" s="5" t="n">
        <v>5.75</v>
      </c>
      <c r="G51" s="14" t="n">
        <f aca="false">Sessions!$N$4*MAX(0,MIN($C51,Sessions!$O$4)-MAX($B51,Sessions!$M$4))*24</f>
        <v>1.5</v>
      </c>
      <c r="H51" s="14" t="n">
        <f aca="false">Sessions!$N$5*MAX(0,MIN($C51,Sessions!$O$5)-MAX($B51,Sessions!$M$5))*24</f>
        <v>1.5</v>
      </c>
      <c r="I51" s="14" t="n">
        <f aca="false">Sessions!$N$6*MAX(0,MIN($C51,Sessions!$O$6)-MAX($B51,Sessions!$M$6))*24</f>
        <v>0</v>
      </c>
      <c r="J51" s="14" t="n">
        <f aca="false">Sessions!$N$7*MAX(0,MIN($C51,Sessions!$O$7)-MAX($B51,Sessions!$M$7))*24</f>
        <v>2</v>
      </c>
      <c r="K51" s="14" t="n">
        <f aca="false">Sessions!$N$8*MAX(0,MIN($C51,Sessions!$O$8)-MAX($B51,Sessions!$M$8))*24</f>
        <v>0</v>
      </c>
      <c r="L51" s="14" t="n">
        <f aca="false">IF(Sessions!$L$4="Yes",Sessions!$I$4*MAX(0,MIN($C51,Sessions!$K$4)-MAX($B51,Sessions!$C$4))*24,G51)</f>
        <v>0</v>
      </c>
      <c r="M51" s="14" t="n">
        <f aca="false">IF(Sessions!$L$5="Yes",Sessions!$I$5*MAX(0,MIN($C51,Sessions!$K$5)-MAX($B51,Sessions!$C$5))*24,H51)</f>
        <v>0</v>
      </c>
      <c r="N51" s="14" t="n">
        <f aca="false">IF(Sessions!$L$6="Yes",Sessions!$I$6*MAX(0,MIN($C51,Sessions!$K$6)-MAX($B51,Sessions!$C$6))*24,I51)</f>
        <v>0</v>
      </c>
      <c r="O51" s="14" t="n">
        <f aca="false">IF(Sessions!$L$7="Yes",Sessions!$I$7*MAX(0,MIN($C51,Sessions!$K$7)-MAX($B51,Sessions!$C$7))*24,J51)</f>
        <v>0</v>
      </c>
      <c r="P51" s="14" t="n">
        <f aca="false">IF(Sessions!$L$8="Yes",Sessions!$I$8*MAX(0,MIN($C51,Sessions!$K$8)-MAX($B51,Sessions!$C$8))*24,K51)</f>
        <v>0</v>
      </c>
      <c r="Q51" s="15" t="n">
        <f aca="false">SUM(G51:K51)</f>
        <v>5</v>
      </c>
      <c r="R51" s="15" t="n">
        <f aca="false">SUM(L51:P51)</f>
        <v>0</v>
      </c>
      <c r="S51" s="15" t="n">
        <f aca="false">MAX(0,F51-Q51)</f>
        <v>0.75</v>
      </c>
      <c r="T51" s="15" t="n">
        <f aca="false">F51/Inputs!$B$4</f>
        <v>23</v>
      </c>
      <c r="U51" s="15" t="n">
        <f aca="false">(S51+R51)/Inputs!$B$4</f>
        <v>3</v>
      </c>
      <c r="V51" s="15" t="n">
        <f aca="false">MAX(0,R51-Q51)</f>
        <v>0</v>
      </c>
    </row>
    <row r="52" customFormat="false" ht="15" hidden="false" customHeight="false" outlineLevel="0" collapsed="false">
      <c r="A52" s="2" t="n">
        <v>49</v>
      </c>
      <c r="B52" s="11" t="n">
        <v>46308.1666666667</v>
      </c>
      <c r="C52" s="13" t="n">
        <f aca="false">B52+1/96</f>
        <v>46308.1770833333</v>
      </c>
      <c r="D52" s="10" t="n">
        <v>0.2</v>
      </c>
      <c r="E52" s="10" t="n">
        <v>0.33</v>
      </c>
      <c r="F52" s="5" t="n">
        <v>5.75</v>
      </c>
      <c r="G52" s="14" t="n">
        <f aca="false">Sessions!$N$4*MAX(0,MIN($C52,Sessions!$O$4)-MAX($B52,Sessions!$M$4))*24</f>
        <v>1.5</v>
      </c>
      <c r="H52" s="14" t="n">
        <f aca="false">Sessions!$N$5*MAX(0,MIN($C52,Sessions!$O$5)-MAX($B52,Sessions!$M$5))*24</f>
        <v>1.5</v>
      </c>
      <c r="I52" s="14" t="n">
        <f aca="false">Sessions!$N$6*MAX(0,MIN($C52,Sessions!$O$6)-MAX($B52,Sessions!$M$6))*24</f>
        <v>0</v>
      </c>
      <c r="J52" s="14" t="n">
        <f aca="false">Sessions!$N$7*MAX(0,MIN($C52,Sessions!$O$7)-MAX($B52,Sessions!$M$7))*24</f>
        <v>2</v>
      </c>
      <c r="K52" s="14" t="n">
        <f aca="false">Sessions!$N$8*MAX(0,MIN($C52,Sessions!$O$8)-MAX($B52,Sessions!$M$8))*24</f>
        <v>0</v>
      </c>
      <c r="L52" s="14" t="n">
        <f aca="false">IF(Sessions!$L$4="Yes",Sessions!$I$4*MAX(0,MIN($C52,Sessions!$K$4)-MAX($B52,Sessions!$C$4))*24,G52)</f>
        <v>0</v>
      </c>
      <c r="M52" s="14" t="n">
        <f aca="false">IF(Sessions!$L$5="Yes",Sessions!$I$5*MAX(0,MIN($C52,Sessions!$K$5)-MAX($B52,Sessions!$C$5))*24,H52)</f>
        <v>0</v>
      </c>
      <c r="N52" s="14" t="n">
        <f aca="false">IF(Sessions!$L$6="Yes",Sessions!$I$6*MAX(0,MIN($C52,Sessions!$K$6)-MAX($B52,Sessions!$C$6))*24,I52)</f>
        <v>0</v>
      </c>
      <c r="O52" s="14" t="n">
        <f aca="false">IF(Sessions!$L$7="Yes",Sessions!$I$7*MAX(0,MIN($C52,Sessions!$K$7)-MAX($B52,Sessions!$C$7))*24,J52)</f>
        <v>0</v>
      </c>
      <c r="P52" s="14" t="n">
        <f aca="false">IF(Sessions!$L$8="Yes",Sessions!$I$8*MAX(0,MIN($C52,Sessions!$K$8)-MAX($B52,Sessions!$C$8))*24,K52)</f>
        <v>0</v>
      </c>
      <c r="Q52" s="15" t="n">
        <f aca="false">SUM(G52:K52)</f>
        <v>5</v>
      </c>
      <c r="R52" s="15" t="n">
        <f aca="false">SUM(L52:P52)</f>
        <v>0</v>
      </c>
      <c r="S52" s="15" t="n">
        <f aca="false">MAX(0,F52-Q52)</f>
        <v>0.75</v>
      </c>
      <c r="T52" s="15" t="n">
        <f aca="false">F52/Inputs!$B$4</f>
        <v>23</v>
      </c>
      <c r="U52" s="15" t="n">
        <f aca="false">(S52+R52)/Inputs!$B$4</f>
        <v>3</v>
      </c>
      <c r="V52" s="15" t="n">
        <f aca="false">MAX(0,R52-Q52)</f>
        <v>0</v>
      </c>
    </row>
    <row r="53" customFormat="false" ht="15" hidden="false" customHeight="false" outlineLevel="0" collapsed="false">
      <c r="A53" s="2" t="n">
        <v>50</v>
      </c>
      <c r="B53" s="11" t="n">
        <v>46308.1770833333</v>
      </c>
      <c r="C53" s="13" t="n">
        <f aca="false">B53+1/96</f>
        <v>46308.1875</v>
      </c>
      <c r="D53" s="10" t="n">
        <v>0.2</v>
      </c>
      <c r="E53" s="10" t="n">
        <v>0.33</v>
      </c>
      <c r="F53" s="5" t="n">
        <v>5.75</v>
      </c>
      <c r="G53" s="14" t="n">
        <f aca="false">Sessions!$N$4*MAX(0,MIN($C53,Sessions!$O$4)-MAX($B53,Sessions!$M$4))*24</f>
        <v>1.5</v>
      </c>
      <c r="H53" s="14" t="n">
        <f aca="false">Sessions!$N$5*MAX(0,MIN($C53,Sessions!$O$5)-MAX($B53,Sessions!$M$5))*24</f>
        <v>1.5</v>
      </c>
      <c r="I53" s="14" t="n">
        <f aca="false">Sessions!$N$6*MAX(0,MIN($C53,Sessions!$O$6)-MAX($B53,Sessions!$M$6))*24</f>
        <v>0</v>
      </c>
      <c r="J53" s="14" t="n">
        <f aca="false">Sessions!$N$7*MAX(0,MIN($C53,Sessions!$O$7)-MAX($B53,Sessions!$M$7))*24</f>
        <v>2</v>
      </c>
      <c r="K53" s="14" t="n">
        <f aca="false">Sessions!$N$8*MAX(0,MIN($C53,Sessions!$O$8)-MAX($B53,Sessions!$M$8))*24</f>
        <v>0</v>
      </c>
      <c r="L53" s="14" t="n">
        <f aca="false">IF(Sessions!$L$4="Yes",Sessions!$I$4*MAX(0,MIN($C53,Sessions!$K$4)-MAX($B53,Sessions!$C$4))*24,G53)</f>
        <v>0</v>
      </c>
      <c r="M53" s="14" t="n">
        <f aca="false">IF(Sessions!$L$5="Yes",Sessions!$I$5*MAX(0,MIN($C53,Sessions!$K$5)-MAX($B53,Sessions!$C$5))*24,H53)</f>
        <v>0</v>
      </c>
      <c r="N53" s="14" t="n">
        <f aca="false">IF(Sessions!$L$6="Yes",Sessions!$I$6*MAX(0,MIN($C53,Sessions!$K$6)-MAX($B53,Sessions!$C$6))*24,I53)</f>
        <v>0</v>
      </c>
      <c r="O53" s="14" t="n">
        <f aca="false">IF(Sessions!$L$7="Yes",Sessions!$I$7*MAX(0,MIN($C53,Sessions!$K$7)-MAX($B53,Sessions!$C$7))*24,J53)</f>
        <v>0</v>
      </c>
      <c r="P53" s="14" t="n">
        <f aca="false">IF(Sessions!$L$8="Yes",Sessions!$I$8*MAX(0,MIN($C53,Sessions!$K$8)-MAX($B53,Sessions!$C$8))*24,K53)</f>
        <v>0</v>
      </c>
      <c r="Q53" s="15" t="n">
        <f aca="false">SUM(G53:K53)</f>
        <v>5</v>
      </c>
      <c r="R53" s="15" t="n">
        <f aca="false">SUM(L53:P53)</f>
        <v>0</v>
      </c>
      <c r="S53" s="15" t="n">
        <f aca="false">MAX(0,F53-Q53)</f>
        <v>0.75</v>
      </c>
      <c r="T53" s="15" t="n">
        <f aca="false">F53/Inputs!$B$4</f>
        <v>23</v>
      </c>
      <c r="U53" s="15" t="n">
        <f aca="false">(S53+R53)/Inputs!$B$4</f>
        <v>3</v>
      </c>
      <c r="V53" s="15" t="n">
        <f aca="false">MAX(0,R53-Q53)</f>
        <v>0</v>
      </c>
    </row>
    <row r="54" customFormat="false" ht="15" hidden="false" customHeight="false" outlineLevel="0" collapsed="false">
      <c r="A54" s="2" t="n">
        <v>51</v>
      </c>
      <c r="B54" s="11" t="n">
        <v>46308.1875</v>
      </c>
      <c r="C54" s="13" t="n">
        <f aca="false">B54+1/96</f>
        <v>46308.1979166667</v>
      </c>
      <c r="D54" s="10" t="n">
        <v>0.2</v>
      </c>
      <c r="E54" s="10" t="n">
        <v>0.33</v>
      </c>
      <c r="F54" s="5" t="n">
        <v>5.25</v>
      </c>
      <c r="G54" s="14" t="n">
        <f aca="false">Sessions!$N$4*MAX(0,MIN($C54,Sessions!$O$4)-MAX($B54,Sessions!$M$4))*24</f>
        <v>1</v>
      </c>
      <c r="H54" s="14" t="n">
        <f aca="false">Sessions!$N$5*MAX(0,MIN($C54,Sessions!$O$5)-MAX($B54,Sessions!$M$5))*24</f>
        <v>1.5</v>
      </c>
      <c r="I54" s="14" t="n">
        <f aca="false">Sessions!$N$6*MAX(0,MIN($C54,Sessions!$O$6)-MAX($B54,Sessions!$M$6))*24</f>
        <v>0</v>
      </c>
      <c r="J54" s="14" t="n">
        <f aca="false">Sessions!$N$7*MAX(0,MIN($C54,Sessions!$O$7)-MAX($B54,Sessions!$M$7))*24</f>
        <v>2</v>
      </c>
      <c r="K54" s="14" t="n">
        <f aca="false">Sessions!$N$8*MAX(0,MIN($C54,Sessions!$O$8)-MAX($B54,Sessions!$M$8))*24</f>
        <v>0</v>
      </c>
      <c r="L54" s="14" t="n">
        <f aca="false">IF(Sessions!$L$4="Yes",Sessions!$I$4*MAX(0,MIN($C54,Sessions!$K$4)-MAX($B54,Sessions!$C$4))*24,G54)</f>
        <v>0</v>
      </c>
      <c r="M54" s="14" t="n">
        <f aca="false">IF(Sessions!$L$5="Yes",Sessions!$I$5*MAX(0,MIN($C54,Sessions!$K$5)-MAX($B54,Sessions!$C$5))*24,H54)</f>
        <v>0</v>
      </c>
      <c r="N54" s="14" t="n">
        <f aca="false">IF(Sessions!$L$6="Yes",Sessions!$I$6*MAX(0,MIN($C54,Sessions!$K$6)-MAX($B54,Sessions!$C$6))*24,I54)</f>
        <v>0</v>
      </c>
      <c r="O54" s="14" t="n">
        <f aca="false">IF(Sessions!$L$7="Yes",Sessions!$I$7*MAX(0,MIN($C54,Sessions!$K$7)-MAX($B54,Sessions!$C$7))*24,J54)</f>
        <v>0</v>
      </c>
      <c r="P54" s="14" t="n">
        <f aca="false">IF(Sessions!$L$8="Yes",Sessions!$I$8*MAX(0,MIN($C54,Sessions!$K$8)-MAX($B54,Sessions!$C$8))*24,K54)</f>
        <v>0</v>
      </c>
      <c r="Q54" s="15" t="n">
        <f aca="false">SUM(G54:K54)</f>
        <v>4.5</v>
      </c>
      <c r="R54" s="15" t="n">
        <f aca="false">SUM(L54:P54)</f>
        <v>0</v>
      </c>
      <c r="S54" s="15" t="n">
        <f aca="false">MAX(0,F54-Q54)</f>
        <v>0.75</v>
      </c>
      <c r="T54" s="15" t="n">
        <f aca="false">F54/Inputs!$B$4</f>
        <v>21</v>
      </c>
      <c r="U54" s="15" t="n">
        <f aca="false">(S54+R54)/Inputs!$B$4</f>
        <v>3</v>
      </c>
      <c r="V54" s="15" t="n">
        <f aca="false">MAX(0,R54-Q54)</f>
        <v>0</v>
      </c>
    </row>
    <row r="55" customFormat="false" ht="15" hidden="false" customHeight="false" outlineLevel="0" collapsed="false">
      <c r="A55" s="2" t="n">
        <v>52</v>
      </c>
      <c r="B55" s="11" t="n">
        <v>46308.1979166667</v>
      </c>
      <c r="C55" s="13" t="n">
        <f aca="false">B55+1/96</f>
        <v>46308.2083333333</v>
      </c>
      <c r="D55" s="10" t="n">
        <v>0.2</v>
      </c>
      <c r="E55" s="10" t="n">
        <v>0.33</v>
      </c>
      <c r="F55" s="5" t="n">
        <v>3.25</v>
      </c>
      <c r="G55" s="14" t="n">
        <f aca="false">Sessions!$N$4*MAX(0,MIN($C55,Sessions!$O$4)-MAX($B55,Sessions!$M$4))*24</f>
        <v>0</v>
      </c>
      <c r="H55" s="14" t="n">
        <f aca="false">Sessions!$N$5*MAX(0,MIN($C55,Sessions!$O$5)-MAX($B55,Sessions!$M$5))*24</f>
        <v>0.5</v>
      </c>
      <c r="I55" s="14" t="n">
        <f aca="false">Sessions!$N$6*MAX(0,MIN($C55,Sessions!$O$6)-MAX($B55,Sessions!$M$6))*24</f>
        <v>0</v>
      </c>
      <c r="J55" s="14" t="n">
        <f aca="false">Sessions!$N$7*MAX(0,MIN($C55,Sessions!$O$7)-MAX($B55,Sessions!$M$7))*24</f>
        <v>2</v>
      </c>
      <c r="K55" s="14" t="n">
        <f aca="false">Sessions!$N$8*MAX(0,MIN($C55,Sessions!$O$8)-MAX($B55,Sessions!$M$8))*24</f>
        <v>0</v>
      </c>
      <c r="L55" s="14" t="n">
        <f aca="false">IF(Sessions!$L$4="Yes",Sessions!$I$4*MAX(0,MIN($C55,Sessions!$K$4)-MAX($B55,Sessions!$C$4))*24,G55)</f>
        <v>0</v>
      </c>
      <c r="M55" s="14" t="n">
        <f aca="false">IF(Sessions!$L$5="Yes",Sessions!$I$5*MAX(0,MIN($C55,Sessions!$K$5)-MAX($B55,Sessions!$C$5))*24,H55)</f>
        <v>0</v>
      </c>
      <c r="N55" s="14" t="n">
        <f aca="false">IF(Sessions!$L$6="Yes",Sessions!$I$6*MAX(0,MIN($C55,Sessions!$K$6)-MAX($B55,Sessions!$C$6))*24,I55)</f>
        <v>0</v>
      </c>
      <c r="O55" s="14" t="n">
        <f aca="false">IF(Sessions!$L$7="Yes",Sessions!$I$7*MAX(0,MIN($C55,Sessions!$K$7)-MAX($B55,Sessions!$C$7))*24,J55)</f>
        <v>0</v>
      </c>
      <c r="P55" s="14" t="n">
        <f aca="false">IF(Sessions!$L$8="Yes",Sessions!$I$8*MAX(0,MIN($C55,Sessions!$K$8)-MAX($B55,Sessions!$C$8))*24,K55)</f>
        <v>0</v>
      </c>
      <c r="Q55" s="15" t="n">
        <f aca="false">SUM(G55:K55)</f>
        <v>2.5</v>
      </c>
      <c r="R55" s="15" t="n">
        <f aca="false">SUM(L55:P55)</f>
        <v>0</v>
      </c>
      <c r="S55" s="15" t="n">
        <f aca="false">MAX(0,F55-Q55)</f>
        <v>0.75</v>
      </c>
      <c r="T55" s="15" t="n">
        <f aca="false">F55/Inputs!$B$4</f>
        <v>13</v>
      </c>
      <c r="U55" s="15" t="n">
        <f aca="false">(S55+R55)/Inputs!$B$4</f>
        <v>3</v>
      </c>
      <c r="V55" s="15" t="n">
        <f aca="false">MAX(0,R55-Q55)</f>
        <v>0</v>
      </c>
    </row>
    <row r="56" customFormat="false" ht="15" hidden="false" customHeight="false" outlineLevel="0" collapsed="false">
      <c r="A56" s="2" t="n">
        <v>53</v>
      </c>
      <c r="B56" s="11" t="n">
        <v>46308.2083333333</v>
      </c>
      <c r="C56" s="13" t="n">
        <f aca="false">B56+1/96</f>
        <v>46308.21875</v>
      </c>
      <c r="D56" s="10" t="n">
        <v>0.2</v>
      </c>
      <c r="E56" s="10" t="n">
        <v>0.33</v>
      </c>
      <c r="F56" s="5" t="n">
        <v>2.75</v>
      </c>
      <c r="G56" s="14" t="n">
        <f aca="false">Sessions!$N$4*MAX(0,MIN($C56,Sessions!$O$4)-MAX($B56,Sessions!$M$4))*24</f>
        <v>0</v>
      </c>
      <c r="H56" s="14" t="n">
        <f aca="false">Sessions!$N$5*MAX(0,MIN($C56,Sessions!$O$5)-MAX($B56,Sessions!$M$5))*24</f>
        <v>0</v>
      </c>
      <c r="I56" s="14" t="n">
        <f aca="false">Sessions!$N$6*MAX(0,MIN($C56,Sessions!$O$6)-MAX($B56,Sessions!$M$6))*24</f>
        <v>0</v>
      </c>
      <c r="J56" s="14" t="n">
        <f aca="false">Sessions!$N$7*MAX(0,MIN($C56,Sessions!$O$7)-MAX($B56,Sessions!$M$7))*24</f>
        <v>2</v>
      </c>
      <c r="K56" s="14" t="n">
        <f aca="false">Sessions!$N$8*MAX(0,MIN($C56,Sessions!$O$8)-MAX($B56,Sessions!$M$8))*24</f>
        <v>0</v>
      </c>
      <c r="L56" s="14" t="n">
        <f aca="false">IF(Sessions!$L$4="Yes",Sessions!$I$4*MAX(0,MIN($C56,Sessions!$K$4)-MAX($B56,Sessions!$C$4))*24,G56)</f>
        <v>0</v>
      </c>
      <c r="M56" s="14" t="n">
        <f aca="false">IF(Sessions!$L$5="Yes",Sessions!$I$5*MAX(0,MIN($C56,Sessions!$K$5)-MAX($B56,Sessions!$C$5))*24,H56)</f>
        <v>0</v>
      </c>
      <c r="N56" s="14" t="n">
        <f aca="false">IF(Sessions!$L$6="Yes",Sessions!$I$6*MAX(0,MIN($C56,Sessions!$K$6)-MAX($B56,Sessions!$C$6))*24,I56)</f>
        <v>0</v>
      </c>
      <c r="O56" s="14" t="n">
        <f aca="false">IF(Sessions!$L$7="Yes",Sessions!$I$7*MAX(0,MIN($C56,Sessions!$K$7)-MAX($B56,Sessions!$C$7))*24,J56)</f>
        <v>0</v>
      </c>
      <c r="P56" s="14" t="n">
        <f aca="false">IF(Sessions!$L$8="Yes",Sessions!$I$8*MAX(0,MIN($C56,Sessions!$K$8)-MAX($B56,Sessions!$C$8))*24,K56)</f>
        <v>0</v>
      </c>
      <c r="Q56" s="15" t="n">
        <f aca="false">SUM(G56:K56)</f>
        <v>2</v>
      </c>
      <c r="R56" s="15" t="n">
        <f aca="false">SUM(L56:P56)</f>
        <v>0</v>
      </c>
      <c r="S56" s="15" t="n">
        <f aca="false">MAX(0,F56-Q56)</f>
        <v>0.75</v>
      </c>
      <c r="T56" s="15" t="n">
        <f aca="false">F56/Inputs!$B$4</f>
        <v>11</v>
      </c>
      <c r="U56" s="15" t="n">
        <f aca="false">(S56+R56)/Inputs!$B$4</f>
        <v>3</v>
      </c>
      <c r="V56" s="15" t="n">
        <f aca="false">MAX(0,R56-Q56)</f>
        <v>0</v>
      </c>
    </row>
    <row r="57" customFormat="false" ht="15" hidden="false" customHeight="false" outlineLevel="0" collapsed="false">
      <c r="A57" s="2" t="n">
        <v>54</v>
      </c>
      <c r="B57" s="11" t="n">
        <v>46308.21875</v>
      </c>
      <c r="C57" s="13" t="n">
        <f aca="false">B57+1/96</f>
        <v>46308.2291666667</v>
      </c>
      <c r="D57" s="10" t="n">
        <v>0.2</v>
      </c>
      <c r="E57" s="10" t="n">
        <v>0.33</v>
      </c>
      <c r="F57" s="5" t="n">
        <v>2.75</v>
      </c>
      <c r="G57" s="14" t="n">
        <f aca="false">Sessions!$N$4*MAX(0,MIN($C57,Sessions!$O$4)-MAX($B57,Sessions!$M$4))*24</f>
        <v>0</v>
      </c>
      <c r="H57" s="14" t="n">
        <f aca="false">Sessions!$N$5*MAX(0,MIN($C57,Sessions!$O$5)-MAX($B57,Sessions!$M$5))*24</f>
        <v>0</v>
      </c>
      <c r="I57" s="14" t="n">
        <f aca="false">Sessions!$N$6*MAX(0,MIN($C57,Sessions!$O$6)-MAX($B57,Sessions!$M$6))*24</f>
        <v>0</v>
      </c>
      <c r="J57" s="14" t="n">
        <f aca="false">Sessions!$N$7*MAX(0,MIN($C57,Sessions!$O$7)-MAX($B57,Sessions!$M$7))*24</f>
        <v>2</v>
      </c>
      <c r="K57" s="14" t="n">
        <f aca="false">Sessions!$N$8*MAX(0,MIN($C57,Sessions!$O$8)-MAX($B57,Sessions!$M$8))*24</f>
        <v>0</v>
      </c>
      <c r="L57" s="14" t="n">
        <f aca="false">IF(Sessions!$L$4="Yes",Sessions!$I$4*MAX(0,MIN($C57,Sessions!$K$4)-MAX($B57,Sessions!$C$4))*24,G57)</f>
        <v>0</v>
      </c>
      <c r="M57" s="14" t="n">
        <f aca="false">IF(Sessions!$L$5="Yes",Sessions!$I$5*MAX(0,MIN($C57,Sessions!$K$5)-MAX($B57,Sessions!$C$5))*24,H57)</f>
        <v>0</v>
      </c>
      <c r="N57" s="14" t="n">
        <f aca="false">IF(Sessions!$L$6="Yes",Sessions!$I$6*MAX(0,MIN($C57,Sessions!$K$6)-MAX($B57,Sessions!$C$6))*24,I57)</f>
        <v>0</v>
      </c>
      <c r="O57" s="14" t="n">
        <f aca="false">IF(Sessions!$L$7="Yes",Sessions!$I$7*MAX(0,MIN($C57,Sessions!$K$7)-MAX($B57,Sessions!$C$7))*24,J57)</f>
        <v>0</v>
      </c>
      <c r="P57" s="14" t="n">
        <f aca="false">IF(Sessions!$L$8="Yes",Sessions!$I$8*MAX(0,MIN($C57,Sessions!$K$8)-MAX($B57,Sessions!$C$8))*24,K57)</f>
        <v>0</v>
      </c>
      <c r="Q57" s="15" t="n">
        <f aca="false">SUM(G57:K57)</f>
        <v>2</v>
      </c>
      <c r="R57" s="15" t="n">
        <f aca="false">SUM(L57:P57)</f>
        <v>0</v>
      </c>
      <c r="S57" s="15" t="n">
        <f aca="false">MAX(0,F57-Q57)</f>
        <v>0.75</v>
      </c>
      <c r="T57" s="15" t="n">
        <f aca="false">F57/Inputs!$B$4</f>
        <v>11</v>
      </c>
      <c r="U57" s="15" t="n">
        <f aca="false">(S57+R57)/Inputs!$B$4</f>
        <v>3</v>
      </c>
      <c r="V57" s="15" t="n">
        <f aca="false">MAX(0,R57-Q57)</f>
        <v>0</v>
      </c>
    </row>
    <row r="58" customFormat="false" ht="15" hidden="false" customHeight="false" outlineLevel="0" collapsed="false">
      <c r="A58" s="2" t="n">
        <v>55</v>
      </c>
      <c r="B58" s="11" t="n">
        <v>46308.2291666667</v>
      </c>
      <c r="C58" s="13" t="n">
        <f aca="false">B58+1/96</f>
        <v>46308.2395833333</v>
      </c>
      <c r="D58" s="10" t="n">
        <v>0.2</v>
      </c>
      <c r="E58" s="10" t="n">
        <v>0.33</v>
      </c>
      <c r="F58" s="5" t="n">
        <v>1.75</v>
      </c>
      <c r="G58" s="14" t="n">
        <f aca="false">Sessions!$N$4*MAX(0,MIN($C58,Sessions!$O$4)-MAX($B58,Sessions!$M$4))*24</f>
        <v>0</v>
      </c>
      <c r="H58" s="14" t="n">
        <f aca="false">Sessions!$N$5*MAX(0,MIN($C58,Sessions!$O$5)-MAX($B58,Sessions!$M$5))*24</f>
        <v>0</v>
      </c>
      <c r="I58" s="14" t="n">
        <f aca="false">Sessions!$N$6*MAX(0,MIN($C58,Sessions!$O$6)-MAX($B58,Sessions!$M$6))*24</f>
        <v>0</v>
      </c>
      <c r="J58" s="14" t="n">
        <f aca="false">Sessions!$N$7*MAX(0,MIN($C58,Sessions!$O$7)-MAX($B58,Sessions!$M$7))*24</f>
        <v>1</v>
      </c>
      <c r="K58" s="14" t="n">
        <f aca="false">Sessions!$N$8*MAX(0,MIN($C58,Sessions!$O$8)-MAX($B58,Sessions!$M$8))*24</f>
        <v>0</v>
      </c>
      <c r="L58" s="14" t="n">
        <f aca="false">IF(Sessions!$L$4="Yes",Sessions!$I$4*MAX(0,MIN($C58,Sessions!$K$4)-MAX($B58,Sessions!$C$4))*24,G58)</f>
        <v>0</v>
      </c>
      <c r="M58" s="14" t="n">
        <f aca="false">IF(Sessions!$L$5="Yes",Sessions!$I$5*MAX(0,MIN($C58,Sessions!$K$5)-MAX($B58,Sessions!$C$5))*24,H58)</f>
        <v>0</v>
      </c>
      <c r="N58" s="14" t="n">
        <f aca="false">IF(Sessions!$L$6="Yes",Sessions!$I$6*MAX(0,MIN($C58,Sessions!$K$6)-MAX($B58,Sessions!$C$6))*24,I58)</f>
        <v>0</v>
      </c>
      <c r="O58" s="14" t="n">
        <f aca="false">IF(Sessions!$L$7="Yes",Sessions!$I$7*MAX(0,MIN($C58,Sessions!$K$7)-MAX($B58,Sessions!$C$7))*24,J58)</f>
        <v>0</v>
      </c>
      <c r="P58" s="14" t="n">
        <f aca="false">IF(Sessions!$L$8="Yes",Sessions!$I$8*MAX(0,MIN($C58,Sessions!$K$8)-MAX($B58,Sessions!$C$8))*24,K58)</f>
        <v>0</v>
      </c>
      <c r="Q58" s="15" t="n">
        <f aca="false">SUM(G58:K58)</f>
        <v>1</v>
      </c>
      <c r="R58" s="15" t="n">
        <f aca="false">SUM(L58:P58)</f>
        <v>0</v>
      </c>
      <c r="S58" s="15" t="n">
        <f aca="false">MAX(0,F58-Q58)</f>
        <v>0.75</v>
      </c>
      <c r="T58" s="15" t="n">
        <f aca="false">F58/Inputs!$B$4</f>
        <v>7</v>
      </c>
      <c r="U58" s="15" t="n">
        <f aca="false">(S58+R58)/Inputs!$B$4</f>
        <v>3</v>
      </c>
      <c r="V58" s="15" t="n">
        <f aca="false">MAX(0,R58-Q58)</f>
        <v>0</v>
      </c>
    </row>
    <row r="59" customFormat="false" ht="15" hidden="false" customHeight="false" outlineLevel="0" collapsed="false">
      <c r="A59" s="2" t="n">
        <v>56</v>
      </c>
      <c r="B59" s="11" t="n">
        <v>46308.2395833333</v>
      </c>
      <c r="C59" s="13" t="n">
        <f aca="false">B59+1/96</f>
        <v>46308.25</v>
      </c>
      <c r="D59" s="10" t="n">
        <v>0.2</v>
      </c>
      <c r="E59" s="10" t="n">
        <v>0.33</v>
      </c>
      <c r="F59" s="5" t="n">
        <v>0.75</v>
      </c>
      <c r="G59" s="14" t="n">
        <f aca="false">Sessions!$N$4*MAX(0,MIN($C59,Sessions!$O$4)-MAX($B59,Sessions!$M$4))*24</f>
        <v>0</v>
      </c>
      <c r="H59" s="14" t="n">
        <f aca="false">Sessions!$N$5*MAX(0,MIN($C59,Sessions!$O$5)-MAX($B59,Sessions!$M$5))*24</f>
        <v>0</v>
      </c>
      <c r="I59" s="14" t="n">
        <f aca="false">Sessions!$N$6*MAX(0,MIN($C59,Sessions!$O$6)-MAX($B59,Sessions!$M$6))*24</f>
        <v>0</v>
      </c>
      <c r="J59" s="14" t="n">
        <f aca="false">Sessions!$N$7*MAX(0,MIN($C59,Sessions!$O$7)-MAX($B59,Sessions!$M$7))*24</f>
        <v>0</v>
      </c>
      <c r="K59" s="14" t="n">
        <f aca="false">Sessions!$N$8*MAX(0,MIN($C59,Sessions!$O$8)-MAX($B59,Sessions!$M$8))*24</f>
        <v>0</v>
      </c>
      <c r="L59" s="14" t="n">
        <f aca="false">IF(Sessions!$L$4="Yes",Sessions!$I$4*MAX(0,MIN($C59,Sessions!$K$4)-MAX($B59,Sessions!$C$4))*24,G59)</f>
        <v>0</v>
      </c>
      <c r="M59" s="14" t="n">
        <f aca="false">IF(Sessions!$L$5="Yes",Sessions!$I$5*MAX(0,MIN($C59,Sessions!$K$5)-MAX($B59,Sessions!$C$5))*24,H59)</f>
        <v>0</v>
      </c>
      <c r="N59" s="14" t="n">
        <f aca="false">IF(Sessions!$L$6="Yes",Sessions!$I$6*MAX(0,MIN($C59,Sessions!$K$6)-MAX($B59,Sessions!$C$6))*24,I59)</f>
        <v>0</v>
      </c>
      <c r="O59" s="14" t="n">
        <f aca="false">IF(Sessions!$L$7="Yes",Sessions!$I$7*MAX(0,MIN($C59,Sessions!$K$7)-MAX($B59,Sessions!$C$7))*24,J59)</f>
        <v>0</v>
      </c>
      <c r="P59" s="14" t="n">
        <f aca="false">IF(Sessions!$L$8="Yes",Sessions!$I$8*MAX(0,MIN($C59,Sessions!$K$8)-MAX($B59,Sessions!$C$8))*24,K59)</f>
        <v>0</v>
      </c>
      <c r="Q59" s="15" t="n">
        <f aca="false">SUM(G59:K59)</f>
        <v>0</v>
      </c>
      <c r="R59" s="15" t="n">
        <f aca="false">SUM(L59:P59)</f>
        <v>0</v>
      </c>
      <c r="S59" s="15" t="n">
        <f aca="false">MAX(0,F59-Q59)</f>
        <v>0.75</v>
      </c>
      <c r="T59" s="15" t="n">
        <f aca="false">F59/Inputs!$B$4</f>
        <v>3</v>
      </c>
      <c r="U59" s="15" t="n">
        <f aca="false">(S59+R59)/Inputs!$B$4</f>
        <v>3</v>
      </c>
      <c r="V59" s="15" t="n">
        <f aca="false">MAX(0,R59-Q59)</f>
        <v>0</v>
      </c>
    </row>
    <row r="60" customFormat="false" ht="15" hidden="false" customHeight="false" outlineLevel="0" collapsed="false">
      <c r="A60" s="2" t="n">
        <v>57</v>
      </c>
      <c r="B60" s="11" t="n">
        <v>46308.25</v>
      </c>
      <c r="C60" s="13" t="n">
        <f aca="false">B60+1/96</f>
        <v>46308.2604166667</v>
      </c>
      <c r="D60" s="10" t="n">
        <v>0.26</v>
      </c>
      <c r="E60" s="10" t="n">
        <v>0.4</v>
      </c>
      <c r="F60" s="5" t="n">
        <v>1.25</v>
      </c>
      <c r="G60" s="14" t="n">
        <f aca="false">Sessions!$N$4*MAX(0,MIN($C60,Sessions!$O$4)-MAX($B60,Sessions!$M$4))*24</f>
        <v>0</v>
      </c>
      <c r="H60" s="14" t="n">
        <f aca="false">Sessions!$N$5*MAX(0,MIN($C60,Sessions!$O$5)-MAX($B60,Sessions!$M$5))*24</f>
        <v>0</v>
      </c>
      <c r="I60" s="14" t="n">
        <f aca="false">Sessions!$N$6*MAX(0,MIN($C60,Sessions!$O$6)-MAX($B60,Sessions!$M$6))*24</f>
        <v>0</v>
      </c>
      <c r="J60" s="14" t="n">
        <f aca="false">Sessions!$N$7*MAX(0,MIN($C60,Sessions!$O$7)-MAX($B60,Sessions!$M$7))*24</f>
        <v>0</v>
      </c>
      <c r="K60" s="14" t="n">
        <f aca="false">Sessions!$N$8*MAX(0,MIN($C60,Sessions!$O$8)-MAX($B60,Sessions!$M$8))*24</f>
        <v>0</v>
      </c>
      <c r="L60" s="14" t="n">
        <f aca="false">IF(Sessions!$L$4="Yes",Sessions!$I$4*MAX(0,MIN($C60,Sessions!$K$4)-MAX($B60,Sessions!$C$4))*24,G60)</f>
        <v>0</v>
      </c>
      <c r="M60" s="14" t="n">
        <f aca="false">IF(Sessions!$L$5="Yes",Sessions!$I$5*MAX(0,MIN($C60,Sessions!$K$5)-MAX($B60,Sessions!$C$5))*24,H60)</f>
        <v>0</v>
      </c>
      <c r="N60" s="14" t="n">
        <f aca="false">IF(Sessions!$L$6="Yes",Sessions!$I$6*MAX(0,MIN($C60,Sessions!$K$6)-MAX($B60,Sessions!$C$6))*24,I60)</f>
        <v>0</v>
      </c>
      <c r="O60" s="14" t="n">
        <f aca="false">IF(Sessions!$L$7="Yes",Sessions!$I$7*MAX(0,MIN($C60,Sessions!$K$7)-MAX($B60,Sessions!$C$7))*24,J60)</f>
        <v>0</v>
      </c>
      <c r="P60" s="14" t="n">
        <f aca="false">IF(Sessions!$L$8="Yes",Sessions!$I$8*MAX(0,MIN($C60,Sessions!$K$8)-MAX($B60,Sessions!$C$8))*24,K60)</f>
        <v>0</v>
      </c>
      <c r="Q60" s="15" t="n">
        <f aca="false">SUM(G60:K60)</f>
        <v>0</v>
      </c>
      <c r="R60" s="15" t="n">
        <f aca="false">SUM(L60:P60)</f>
        <v>0</v>
      </c>
      <c r="S60" s="15" t="n">
        <f aca="false">MAX(0,F60-Q60)</f>
        <v>1.25</v>
      </c>
      <c r="T60" s="15" t="n">
        <f aca="false">F60/Inputs!$B$4</f>
        <v>5</v>
      </c>
      <c r="U60" s="15" t="n">
        <f aca="false">(S60+R60)/Inputs!$B$4</f>
        <v>5</v>
      </c>
      <c r="V60" s="15" t="n">
        <f aca="false">MAX(0,R60-Q60)</f>
        <v>0</v>
      </c>
    </row>
    <row r="61" customFormat="false" ht="15" hidden="false" customHeight="false" outlineLevel="0" collapsed="false">
      <c r="A61" s="2" t="n">
        <v>58</v>
      </c>
      <c r="B61" s="11" t="n">
        <v>46308.2604166667</v>
      </c>
      <c r="C61" s="13" t="n">
        <f aca="false">B61+1/96</f>
        <v>46308.2708333333</v>
      </c>
      <c r="D61" s="10" t="n">
        <v>0.26</v>
      </c>
      <c r="E61" s="10" t="n">
        <v>0.4</v>
      </c>
      <c r="F61" s="5" t="n">
        <v>1.25</v>
      </c>
      <c r="G61" s="14" t="n">
        <f aca="false">Sessions!$N$4*MAX(0,MIN($C61,Sessions!$O$4)-MAX($B61,Sessions!$M$4))*24</f>
        <v>0</v>
      </c>
      <c r="H61" s="14" t="n">
        <f aca="false">Sessions!$N$5*MAX(0,MIN($C61,Sessions!$O$5)-MAX($B61,Sessions!$M$5))*24</f>
        <v>0</v>
      </c>
      <c r="I61" s="14" t="n">
        <f aca="false">Sessions!$N$6*MAX(0,MIN($C61,Sessions!$O$6)-MAX($B61,Sessions!$M$6))*24</f>
        <v>0</v>
      </c>
      <c r="J61" s="14" t="n">
        <f aca="false">Sessions!$N$7*MAX(0,MIN($C61,Sessions!$O$7)-MAX($B61,Sessions!$M$7))*24</f>
        <v>0</v>
      </c>
      <c r="K61" s="14" t="n">
        <f aca="false">Sessions!$N$8*MAX(0,MIN($C61,Sessions!$O$8)-MAX($B61,Sessions!$M$8))*24</f>
        <v>0</v>
      </c>
      <c r="L61" s="14" t="n">
        <f aca="false">IF(Sessions!$L$4="Yes",Sessions!$I$4*MAX(0,MIN($C61,Sessions!$K$4)-MAX($B61,Sessions!$C$4))*24,G61)</f>
        <v>0</v>
      </c>
      <c r="M61" s="14" t="n">
        <f aca="false">IF(Sessions!$L$5="Yes",Sessions!$I$5*MAX(0,MIN($C61,Sessions!$K$5)-MAX($B61,Sessions!$C$5))*24,H61)</f>
        <v>0</v>
      </c>
      <c r="N61" s="14" t="n">
        <f aca="false">IF(Sessions!$L$6="Yes",Sessions!$I$6*MAX(0,MIN($C61,Sessions!$K$6)-MAX($B61,Sessions!$C$6))*24,I61)</f>
        <v>0</v>
      </c>
      <c r="O61" s="14" t="n">
        <f aca="false">IF(Sessions!$L$7="Yes",Sessions!$I$7*MAX(0,MIN($C61,Sessions!$K$7)-MAX($B61,Sessions!$C$7))*24,J61)</f>
        <v>0</v>
      </c>
      <c r="P61" s="14" t="n">
        <f aca="false">IF(Sessions!$L$8="Yes",Sessions!$I$8*MAX(0,MIN($C61,Sessions!$K$8)-MAX($B61,Sessions!$C$8))*24,K61)</f>
        <v>0</v>
      </c>
      <c r="Q61" s="15" t="n">
        <f aca="false">SUM(G61:K61)</f>
        <v>0</v>
      </c>
      <c r="R61" s="15" t="n">
        <f aca="false">SUM(L61:P61)</f>
        <v>0</v>
      </c>
      <c r="S61" s="15" t="n">
        <f aca="false">MAX(0,F61-Q61)</f>
        <v>1.25</v>
      </c>
      <c r="T61" s="15" t="n">
        <f aca="false">F61/Inputs!$B$4</f>
        <v>5</v>
      </c>
      <c r="U61" s="15" t="n">
        <f aca="false">(S61+R61)/Inputs!$B$4</f>
        <v>5</v>
      </c>
      <c r="V61" s="15" t="n">
        <f aca="false">MAX(0,R61-Q61)</f>
        <v>0</v>
      </c>
    </row>
    <row r="62" customFormat="false" ht="15" hidden="false" customHeight="false" outlineLevel="0" collapsed="false">
      <c r="A62" s="2" t="n">
        <v>59</v>
      </c>
      <c r="B62" s="11" t="n">
        <v>46308.2708333333</v>
      </c>
      <c r="C62" s="13" t="n">
        <f aca="false">B62+1/96</f>
        <v>46308.28125</v>
      </c>
      <c r="D62" s="10" t="n">
        <v>0.26</v>
      </c>
      <c r="E62" s="10" t="n">
        <v>0.4</v>
      </c>
      <c r="F62" s="5" t="n">
        <v>1.25</v>
      </c>
      <c r="G62" s="14" t="n">
        <f aca="false">Sessions!$N$4*MAX(0,MIN($C62,Sessions!$O$4)-MAX($B62,Sessions!$M$4))*24</f>
        <v>0</v>
      </c>
      <c r="H62" s="14" t="n">
        <f aca="false">Sessions!$N$5*MAX(0,MIN($C62,Sessions!$O$5)-MAX($B62,Sessions!$M$5))*24</f>
        <v>0</v>
      </c>
      <c r="I62" s="14" t="n">
        <f aca="false">Sessions!$N$6*MAX(0,MIN($C62,Sessions!$O$6)-MAX($B62,Sessions!$M$6))*24</f>
        <v>0</v>
      </c>
      <c r="J62" s="14" t="n">
        <f aca="false">Sessions!$N$7*MAX(0,MIN($C62,Sessions!$O$7)-MAX($B62,Sessions!$M$7))*24</f>
        <v>0</v>
      </c>
      <c r="K62" s="14" t="n">
        <f aca="false">Sessions!$N$8*MAX(0,MIN($C62,Sessions!$O$8)-MAX($B62,Sessions!$M$8))*24</f>
        <v>0</v>
      </c>
      <c r="L62" s="14" t="n">
        <f aca="false">IF(Sessions!$L$4="Yes",Sessions!$I$4*MAX(0,MIN($C62,Sessions!$K$4)-MAX($B62,Sessions!$C$4))*24,G62)</f>
        <v>0</v>
      </c>
      <c r="M62" s="14" t="n">
        <f aca="false">IF(Sessions!$L$5="Yes",Sessions!$I$5*MAX(0,MIN($C62,Sessions!$K$5)-MAX($B62,Sessions!$C$5))*24,H62)</f>
        <v>0</v>
      </c>
      <c r="N62" s="14" t="n">
        <f aca="false">IF(Sessions!$L$6="Yes",Sessions!$I$6*MAX(0,MIN($C62,Sessions!$K$6)-MAX($B62,Sessions!$C$6))*24,I62)</f>
        <v>0</v>
      </c>
      <c r="O62" s="14" t="n">
        <f aca="false">IF(Sessions!$L$7="Yes",Sessions!$I$7*MAX(0,MIN($C62,Sessions!$K$7)-MAX($B62,Sessions!$C$7))*24,J62)</f>
        <v>0</v>
      </c>
      <c r="P62" s="14" t="n">
        <f aca="false">IF(Sessions!$L$8="Yes",Sessions!$I$8*MAX(0,MIN($C62,Sessions!$K$8)-MAX($B62,Sessions!$C$8))*24,K62)</f>
        <v>0</v>
      </c>
      <c r="Q62" s="15" t="n">
        <f aca="false">SUM(G62:K62)</f>
        <v>0</v>
      </c>
      <c r="R62" s="15" t="n">
        <f aca="false">SUM(L62:P62)</f>
        <v>0</v>
      </c>
      <c r="S62" s="15" t="n">
        <f aca="false">MAX(0,F62-Q62)</f>
        <v>1.25</v>
      </c>
      <c r="T62" s="15" t="n">
        <f aca="false">F62/Inputs!$B$4</f>
        <v>5</v>
      </c>
      <c r="U62" s="15" t="n">
        <f aca="false">(S62+R62)/Inputs!$B$4</f>
        <v>5</v>
      </c>
      <c r="V62" s="15" t="n">
        <f aca="false">MAX(0,R62-Q62)</f>
        <v>0</v>
      </c>
    </row>
    <row r="63" customFormat="false" ht="15" hidden="false" customHeight="false" outlineLevel="0" collapsed="false">
      <c r="A63" s="2" t="n">
        <v>60</v>
      </c>
      <c r="B63" s="11" t="n">
        <v>46308.28125</v>
      </c>
      <c r="C63" s="13" t="n">
        <f aca="false">B63+1/96</f>
        <v>46308.2916666667</v>
      </c>
      <c r="D63" s="10" t="n">
        <v>0.26</v>
      </c>
      <c r="E63" s="10" t="n">
        <v>0.4</v>
      </c>
      <c r="F63" s="5" t="n">
        <v>1.25</v>
      </c>
      <c r="G63" s="14" t="n">
        <f aca="false">Sessions!$N$4*MAX(0,MIN($C63,Sessions!$O$4)-MAX($B63,Sessions!$M$4))*24</f>
        <v>0</v>
      </c>
      <c r="H63" s="14" t="n">
        <f aca="false">Sessions!$N$5*MAX(0,MIN($C63,Sessions!$O$5)-MAX($B63,Sessions!$M$5))*24</f>
        <v>0</v>
      </c>
      <c r="I63" s="14" t="n">
        <f aca="false">Sessions!$N$6*MAX(0,MIN($C63,Sessions!$O$6)-MAX($B63,Sessions!$M$6))*24</f>
        <v>0</v>
      </c>
      <c r="J63" s="14" t="n">
        <f aca="false">Sessions!$N$7*MAX(0,MIN($C63,Sessions!$O$7)-MAX($B63,Sessions!$M$7))*24</f>
        <v>0</v>
      </c>
      <c r="K63" s="14" t="n">
        <f aca="false">Sessions!$N$8*MAX(0,MIN($C63,Sessions!$O$8)-MAX($B63,Sessions!$M$8))*24</f>
        <v>0</v>
      </c>
      <c r="L63" s="14" t="n">
        <f aca="false">IF(Sessions!$L$4="Yes",Sessions!$I$4*MAX(0,MIN($C63,Sessions!$K$4)-MAX($B63,Sessions!$C$4))*24,G63)</f>
        <v>0</v>
      </c>
      <c r="M63" s="14" t="n">
        <f aca="false">IF(Sessions!$L$5="Yes",Sessions!$I$5*MAX(0,MIN($C63,Sessions!$K$5)-MAX($B63,Sessions!$C$5))*24,H63)</f>
        <v>0</v>
      </c>
      <c r="N63" s="14" t="n">
        <f aca="false">IF(Sessions!$L$6="Yes",Sessions!$I$6*MAX(0,MIN($C63,Sessions!$K$6)-MAX($B63,Sessions!$C$6))*24,I63)</f>
        <v>0</v>
      </c>
      <c r="O63" s="14" t="n">
        <f aca="false">IF(Sessions!$L$7="Yes",Sessions!$I$7*MAX(0,MIN($C63,Sessions!$K$7)-MAX($B63,Sessions!$C$7))*24,J63)</f>
        <v>0</v>
      </c>
      <c r="P63" s="14" t="n">
        <f aca="false">IF(Sessions!$L$8="Yes",Sessions!$I$8*MAX(0,MIN($C63,Sessions!$K$8)-MAX($B63,Sessions!$C$8))*24,K63)</f>
        <v>0</v>
      </c>
      <c r="Q63" s="15" t="n">
        <f aca="false">SUM(G63:K63)</f>
        <v>0</v>
      </c>
      <c r="R63" s="15" t="n">
        <f aca="false">SUM(L63:P63)</f>
        <v>0</v>
      </c>
      <c r="S63" s="15" t="n">
        <f aca="false">MAX(0,F63-Q63)</f>
        <v>1.25</v>
      </c>
      <c r="T63" s="15" t="n">
        <f aca="false">F63/Inputs!$B$4</f>
        <v>5</v>
      </c>
      <c r="U63" s="15" t="n">
        <f aca="false">(S63+R63)/Inputs!$B$4</f>
        <v>5</v>
      </c>
      <c r="V63" s="15" t="n">
        <f aca="false">MAX(0,R63-Q63)</f>
        <v>0</v>
      </c>
    </row>
    <row r="64" customFormat="false" ht="15" hidden="false" customHeight="false" outlineLevel="0" collapsed="false">
      <c r="A64" s="2" t="n">
        <v>61</v>
      </c>
      <c r="B64" s="11" t="n">
        <v>46308.2916666667</v>
      </c>
      <c r="C64" s="13" t="n">
        <f aca="false">B64+1/96</f>
        <v>46308.3020833333</v>
      </c>
      <c r="D64" s="10" t="n">
        <v>0.26</v>
      </c>
      <c r="E64" s="10" t="n">
        <v>0.4</v>
      </c>
      <c r="F64" s="5" t="n">
        <v>1.25</v>
      </c>
      <c r="G64" s="14" t="n">
        <f aca="false">Sessions!$N$4*MAX(0,MIN($C64,Sessions!$O$4)-MAX($B64,Sessions!$M$4))*24</f>
        <v>0</v>
      </c>
      <c r="H64" s="14" t="n">
        <f aca="false">Sessions!$N$5*MAX(0,MIN($C64,Sessions!$O$5)-MAX($B64,Sessions!$M$5))*24</f>
        <v>0</v>
      </c>
      <c r="I64" s="14" t="n">
        <f aca="false">Sessions!$N$6*MAX(0,MIN($C64,Sessions!$O$6)-MAX($B64,Sessions!$M$6))*24</f>
        <v>0</v>
      </c>
      <c r="J64" s="14" t="n">
        <f aca="false">Sessions!$N$7*MAX(0,MIN($C64,Sessions!$O$7)-MAX($B64,Sessions!$M$7))*24</f>
        <v>0</v>
      </c>
      <c r="K64" s="14" t="n">
        <f aca="false">Sessions!$N$8*MAX(0,MIN($C64,Sessions!$O$8)-MAX($B64,Sessions!$M$8))*24</f>
        <v>0</v>
      </c>
      <c r="L64" s="14" t="n">
        <f aca="false">IF(Sessions!$L$4="Yes",Sessions!$I$4*MAX(0,MIN($C64,Sessions!$K$4)-MAX($B64,Sessions!$C$4))*24,G64)</f>
        <v>0</v>
      </c>
      <c r="M64" s="14" t="n">
        <f aca="false">IF(Sessions!$L$5="Yes",Sessions!$I$5*MAX(0,MIN($C64,Sessions!$K$5)-MAX($B64,Sessions!$C$5))*24,H64)</f>
        <v>0</v>
      </c>
      <c r="N64" s="14" t="n">
        <f aca="false">IF(Sessions!$L$6="Yes",Sessions!$I$6*MAX(0,MIN($C64,Sessions!$K$6)-MAX($B64,Sessions!$C$6))*24,I64)</f>
        <v>0</v>
      </c>
      <c r="O64" s="14" t="n">
        <f aca="false">IF(Sessions!$L$7="Yes",Sessions!$I$7*MAX(0,MIN($C64,Sessions!$K$7)-MAX($B64,Sessions!$C$7))*24,J64)</f>
        <v>0</v>
      </c>
      <c r="P64" s="14" t="n">
        <f aca="false">IF(Sessions!$L$8="Yes",Sessions!$I$8*MAX(0,MIN($C64,Sessions!$K$8)-MAX($B64,Sessions!$C$8))*24,K64)</f>
        <v>0</v>
      </c>
      <c r="Q64" s="15" t="n">
        <f aca="false">SUM(G64:K64)</f>
        <v>0</v>
      </c>
      <c r="R64" s="15" t="n">
        <f aca="false">SUM(L64:P64)</f>
        <v>0</v>
      </c>
      <c r="S64" s="15" t="n">
        <f aca="false">MAX(0,F64-Q64)</f>
        <v>1.25</v>
      </c>
      <c r="T64" s="15" t="n">
        <f aca="false">F64/Inputs!$B$4</f>
        <v>5</v>
      </c>
      <c r="U64" s="15" t="n">
        <f aca="false">(S64+R64)/Inputs!$B$4</f>
        <v>5</v>
      </c>
      <c r="V64" s="15" t="n">
        <f aca="false">MAX(0,R64-Q64)</f>
        <v>0</v>
      </c>
    </row>
    <row r="65" customFormat="false" ht="15" hidden="false" customHeight="false" outlineLevel="0" collapsed="false">
      <c r="A65" s="2" t="n">
        <v>62</v>
      </c>
      <c r="B65" s="11" t="n">
        <v>46308.3020833333</v>
      </c>
      <c r="C65" s="13" t="n">
        <f aca="false">B65+1/96</f>
        <v>46308.3125</v>
      </c>
      <c r="D65" s="10" t="n">
        <v>0.26</v>
      </c>
      <c r="E65" s="10" t="n">
        <v>0.4</v>
      </c>
      <c r="F65" s="5" t="n">
        <v>1.25</v>
      </c>
      <c r="G65" s="14" t="n">
        <f aca="false">Sessions!$N$4*MAX(0,MIN($C65,Sessions!$O$4)-MAX($B65,Sessions!$M$4))*24</f>
        <v>0</v>
      </c>
      <c r="H65" s="14" t="n">
        <f aca="false">Sessions!$N$5*MAX(0,MIN($C65,Sessions!$O$5)-MAX($B65,Sessions!$M$5))*24</f>
        <v>0</v>
      </c>
      <c r="I65" s="14" t="n">
        <f aca="false">Sessions!$N$6*MAX(0,MIN($C65,Sessions!$O$6)-MAX($B65,Sessions!$M$6))*24</f>
        <v>0</v>
      </c>
      <c r="J65" s="14" t="n">
        <f aca="false">Sessions!$N$7*MAX(0,MIN($C65,Sessions!$O$7)-MAX($B65,Sessions!$M$7))*24</f>
        <v>0</v>
      </c>
      <c r="K65" s="14" t="n">
        <f aca="false">Sessions!$N$8*MAX(0,MIN($C65,Sessions!$O$8)-MAX($B65,Sessions!$M$8))*24</f>
        <v>0</v>
      </c>
      <c r="L65" s="14" t="n">
        <f aca="false">IF(Sessions!$L$4="Yes",Sessions!$I$4*MAX(0,MIN($C65,Sessions!$K$4)-MAX($B65,Sessions!$C$4))*24,G65)</f>
        <v>0</v>
      </c>
      <c r="M65" s="14" t="n">
        <f aca="false">IF(Sessions!$L$5="Yes",Sessions!$I$5*MAX(0,MIN($C65,Sessions!$K$5)-MAX($B65,Sessions!$C$5))*24,H65)</f>
        <v>0</v>
      </c>
      <c r="N65" s="14" t="n">
        <f aca="false">IF(Sessions!$L$6="Yes",Sessions!$I$6*MAX(0,MIN($C65,Sessions!$K$6)-MAX($B65,Sessions!$C$6))*24,I65)</f>
        <v>0</v>
      </c>
      <c r="O65" s="14" t="n">
        <f aca="false">IF(Sessions!$L$7="Yes",Sessions!$I$7*MAX(0,MIN($C65,Sessions!$K$7)-MAX($B65,Sessions!$C$7))*24,J65)</f>
        <v>0</v>
      </c>
      <c r="P65" s="14" t="n">
        <f aca="false">IF(Sessions!$L$8="Yes",Sessions!$I$8*MAX(0,MIN($C65,Sessions!$K$8)-MAX($B65,Sessions!$C$8))*24,K65)</f>
        <v>0</v>
      </c>
      <c r="Q65" s="15" t="n">
        <f aca="false">SUM(G65:K65)</f>
        <v>0</v>
      </c>
      <c r="R65" s="15" t="n">
        <f aca="false">SUM(L65:P65)</f>
        <v>0</v>
      </c>
      <c r="S65" s="15" t="n">
        <f aca="false">MAX(0,F65-Q65)</f>
        <v>1.25</v>
      </c>
      <c r="T65" s="15" t="n">
        <f aca="false">F65/Inputs!$B$4</f>
        <v>5</v>
      </c>
      <c r="U65" s="15" t="n">
        <f aca="false">(S65+R65)/Inputs!$B$4</f>
        <v>5</v>
      </c>
      <c r="V65" s="15" t="n">
        <f aca="false">MAX(0,R65-Q65)</f>
        <v>0</v>
      </c>
    </row>
    <row r="66" customFormat="false" ht="15" hidden="false" customHeight="false" outlineLevel="0" collapsed="false">
      <c r="A66" s="2" t="n">
        <v>63</v>
      </c>
      <c r="B66" s="11" t="n">
        <v>46308.3125</v>
      </c>
      <c r="C66" s="13" t="n">
        <f aca="false">B66+1/96</f>
        <v>46308.3229166667</v>
      </c>
      <c r="D66" s="10" t="n">
        <v>0.26</v>
      </c>
      <c r="E66" s="10" t="n">
        <v>0.4</v>
      </c>
      <c r="F66" s="5" t="n">
        <v>1.25</v>
      </c>
      <c r="G66" s="14" t="n">
        <f aca="false">Sessions!$N$4*MAX(0,MIN($C66,Sessions!$O$4)-MAX($B66,Sessions!$M$4))*24</f>
        <v>0</v>
      </c>
      <c r="H66" s="14" t="n">
        <f aca="false">Sessions!$N$5*MAX(0,MIN($C66,Sessions!$O$5)-MAX($B66,Sessions!$M$5))*24</f>
        <v>0</v>
      </c>
      <c r="I66" s="14" t="n">
        <f aca="false">Sessions!$N$6*MAX(0,MIN($C66,Sessions!$O$6)-MAX($B66,Sessions!$M$6))*24</f>
        <v>0</v>
      </c>
      <c r="J66" s="14" t="n">
        <f aca="false">Sessions!$N$7*MAX(0,MIN($C66,Sessions!$O$7)-MAX($B66,Sessions!$M$7))*24</f>
        <v>0</v>
      </c>
      <c r="K66" s="14" t="n">
        <f aca="false">Sessions!$N$8*MAX(0,MIN($C66,Sessions!$O$8)-MAX($B66,Sessions!$M$8))*24</f>
        <v>0</v>
      </c>
      <c r="L66" s="14" t="n">
        <f aca="false">IF(Sessions!$L$4="Yes",Sessions!$I$4*MAX(0,MIN($C66,Sessions!$K$4)-MAX($B66,Sessions!$C$4))*24,G66)</f>
        <v>0</v>
      </c>
      <c r="M66" s="14" t="n">
        <f aca="false">IF(Sessions!$L$5="Yes",Sessions!$I$5*MAX(0,MIN($C66,Sessions!$K$5)-MAX($B66,Sessions!$C$5))*24,H66)</f>
        <v>0</v>
      </c>
      <c r="N66" s="14" t="n">
        <f aca="false">IF(Sessions!$L$6="Yes",Sessions!$I$6*MAX(0,MIN($C66,Sessions!$K$6)-MAX($B66,Sessions!$C$6))*24,I66)</f>
        <v>0</v>
      </c>
      <c r="O66" s="14" t="n">
        <f aca="false">IF(Sessions!$L$7="Yes",Sessions!$I$7*MAX(0,MIN($C66,Sessions!$K$7)-MAX($B66,Sessions!$C$7))*24,J66)</f>
        <v>0</v>
      </c>
      <c r="P66" s="14" t="n">
        <f aca="false">IF(Sessions!$L$8="Yes",Sessions!$I$8*MAX(0,MIN($C66,Sessions!$K$8)-MAX($B66,Sessions!$C$8))*24,K66)</f>
        <v>0</v>
      </c>
      <c r="Q66" s="15" t="n">
        <f aca="false">SUM(G66:K66)</f>
        <v>0</v>
      </c>
      <c r="R66" s="15" t="n">
        <f aca="false">SUM(L66:P66)</f>
        <v>0</v>
      </c>
      <c r="S66" s="15" t="n">
        <f aca="false">MAX(0,F66-Q66)</f>
        <v>1.25</v>
      </c>
      <c r="T66" s="15" t="n">
        <f aca="false">F66/Inputs!$B$4</f>
        <v>5</v>
      </c>
      <c r="U66" s="15" t="n">
        <f aca="false">(S66+R66)/Inputs!$B$4</f>
        <v>5</v>
      </c>
      <c r="V66" s="15" t="n">
        <f aca="false">MAX(0,R66-Q66)</f>
        <v>0</v>
      </c>
    </row>
    <row r="67" customFormat="false" ht="15" hidden="false" customHeight="false" outlineLevel="0" collapsed="false">
      <c r="A67" s="2" t="n">
        <v>64</v>
      </c>
      <c r="B67" s="11" t="n">
        <v>46308.3229166667</v>
      </c>
      <c r="C67" s="13" t="n">
        <f aca="false">B67+1/96</f>
        <v>46308.3333333333</v>
      </c>
      <c r="D67" s="10" t="n">
        <v>0.26</v>
      </c>
      <c r="E67" s="10" t="n">
        <v>0.4</v>
      </c>
      <c r="F67" s="5" t="n">
        <v>1.25</v>
      </c>
      <c r="G67" s="14" t="n">
        <f aca="false">Sessions!$N$4*MAX(0,MIN($C67,Sessions!$O$4)-MAX($B67,Sessions!$M$4))*24</f>
        <v>0</v>
      </c>
      <c r="H67" s="14" t="n">
        <f aca="false">Sessions!$N$5*MAX(0,MIN($C67,Sessions!$O$5)-MAX($B67,Sessions!$M$5))*24</f>
        <v>0</v>
      </c>
      <c r="I67" s="14" t="n">
        <f aca="false">Sessions!$N$6*MAX(0,MIN($C67,Sessions!$O$6)-MAX($B67,Sessions!$M$6))*24</f>
        <v>0</v>
      </c>
      <c r="J67" s="14" t="n">
        <f aca="false">Sessions!$N$7*MAX(0,MIN($C67,Sessions!$O$7)-MAX($B67,Sessions!$M$7))*24</f>
        <v>0</v>
      </c>
      <c r="K67" s="14" t="n">
        <f aca="false">Sessions!$N$8*MAX(0,MIN($C67,Sessions!$O$8)-MAX($B67,Sessions!$M$8))*24</f>
        <v>0</v>
      </c>
      <c r="L67" s="14" t="n">
        <f aca="false">IF(Sessions!$L$4="Yes",Sessions!$I$4*MAX(0,MIN($C67,Sessions!$K$4)-MAX($B67,Sessions!$C$4))*24,G67)</f>
        <v>0</v>
      </c>
      <c r="M67" s="14" t="n">
        <f aca="false">IF(Sessions!$L$5="Yes",Sessions!$I$5*MAX(0,MIN($C67,Sessions!$K$5)-MAX($B67,Sessions!$C$5))*24,H67)</f>
        <v>0</v>
      </c>
      <c r="N67" s="14" t="n">
        <f aca="false">IF(Sessions!$L$6="Yes",Sessions!$I$6*MAX(0,MIN($C67,Sessions!$K$6)-MAX($B67,Sessions!$C$6))*24,I67)</f>
        <v>0</v>
      </c>
      <c r="O67" s="14" t="n">
        <f aca="false">IF(Sessions!$L$7="Yes",Sessions!$I$7*MAX(0,MIN($C67,Sessions!$K$7)-MAX($B67,Sessions!$C$7))*24,J67)</f>
        <v>0</v>
      </c>
      <c r="P67" s="14" t="n">
        <f aca="false">IF(Sessions!$L$8="Yes",Sessions!$I$8*MAX(0,MIN($C67,Sessions!$K$8)-MAX($B67,Sessions!$C$8))*24,K67)</f>
        <v>0</v>
      </c>
      <c r="Q67" s="15" t="n">
        <f aca="false">SUM(G67:K67)</f>
        <v>0</v>
      </c>
      <c r="R67" s="15" t="n">
        <f aca="false">SUM(L67:P67)</f>
        <v>0</v>
      </c>
      <c r="S67" s="15" t="n">
        <f aca="false">MAX(0,F67-Q67)</f>
        <v>1.25</v>
      </c>
      <c r="T67" s="15" t="n">
        <f aca="false">F67/Inputs!$B$4</f>
        <v>5</v>
      </c>
      <c r="U67" s="15" t="n">
        <f aca="false">(S67+R67)/Inputs!$B$4</f>
        <v>5</v>
      </c>
      <c r="V67" s="15" t="n">
        <f aca="false">MAX(0,R67-Q67)</f>
        <v>0</v>
      </c>
    </row>
    <row r="68" customFormat="false" ht="15" hidden="false" customHeight="false" outlineLevel="0" collapsed="false">
      <c r="A68" s="4" t="s">
        <v>94</v>
      </c>
      <c r="B68" s="8"/>
      <c r="C68" s="8"/>
      <c r="D68" s="8"/>
      <c r="E68" s="8"/>
      <c r="F68" s="16" t="n">
        <f aca="false">SUM(F4:F67)</f>
        <v>224</v>
      </c>
      <c r="G68" s="16" t="n">
        <f aca="false">SUM(G4:G67)</f>
        <v>40</v>
      </c>
      <c r="H68" s="16" t="n">
        <f aca="false">SUM(H4:H67)</f>
        <v>35</v>
      </c>
      <c r="I68" s="16" t="n">
        <f aca="false">SUM(I4:I67)</f>
        <v>30</v>
      </c>
      <c r="J68" s="16" t="n">
        <f aca="false">SUM(J4:J67)</f>
        <v>45</v>
      </c>
      <c r="K68" s="16" t="n">
        <f aca="false">SUM(K4:K67)</f>
        <v>12</v>
      </c>
      <c r="L68" s="16" t="n">
        <f aca="false">SUM(L4:L67)</f>
        <v>39.9999999966814</v>
      </c>
      <c r="M68" s="16" t="n">
        <f aca="false">SUM(M4:M67)</f>
        <v>35.0000000000567</v>
      </c>
      <c r="N68" s="16" t="n">
        <f aca="false">SUM(N4:N67)</f>
        <v>30.000000001931</v>
      </c>
      <c r="O68" s="16" t="n">
        <f aca="false">SUM(O4:O67)</f>
        <v>45</v>
      </c>
      <c r="P68" s="16" t="n">
        <f aca="false">SUM(P4:P67)</f>
        <v>12</v>
      </c>
      <c r="Q68" s="16" t="n">
        <f aca="false">SUM(Q4:Q67)</f>
        <v>162</v>
      </c>
      <c r="R68" s="16" t="n">
        <f aca="false">SUM(R4:R67)</f>
        <v>161.999999998669</v>
      </c>
      <c r="S68" s="16" t="n">
        <f aca="false">SUM(S4:S67)</f>
        <v>62</v>
      </c>
      <c r="T68" s="8"/>
      <c r="U68" s="8"/>
      <c r="V68" s="16" t="n">
        <f aca="false">SUM(V4:V67)</f>
        <v>143.349999996738</v>
      </c>
    </row>
    <row r="69" customFormat="false" ht="15" hidden="false" customHeight="false" outlineLevel="0" collapsed="false">
      <c r="A69" s="8"/>
      <c r="B69" s="8"/>
      <c r="C69" s="8"/>
      <c r="D69" s="8"/>
      <c r="E69" s="8"/>
      <c r="F69" s="8"/>
      <c r="G69" s="8"/>
      <c r="H69" s="8"/>
      <c r="I69" s="8"/>
      <c r="J69" s="8"/>
      <c r="K69" s="8"/>
      <c r="L69" s="8"/>
      <c r="M69" s="8"/>
      <c r="N69" s="8"/>
      <c r="O69" s="8"/>
      <c r="P69" s="8"/>
      <c r="Q69" s="8"/>
      <c r="R69" s="8"/>
      <c r="S69" s="8"/>
      <c r="T69" s="8"/>
      <c r="U69" s="8"/>
      <c r="V69" s="8"/>
    </row>
    <row r="70" customFormat="false" ht="15" hidden="false" customHeight="false" outlineLevel="0" collapsed="false">
      <c r="A70" s="17" t="s">
        <v>95</v>
      </c>
      <c r="B70" s="8"/>
      <c r="C70" s="8"/>
      <c r="D70" s="8"/>
      <c r="E70" s="8"/>
      <c r="F70" s="8"/>
      <c r="G70" s="8"/>
      <c r="H70" s="8"/>
      <c r="I70" s="8"/>
      <c r="J70" s="8"/>
      <c r="K70" s="8"/>
      <c r="L70" s="8"/>
      <c r="M70" s="8"/>
      <c r="N70" s="8"/>
      <c r="O70" s="8"/>
      <c r="P70" s="8"/>
      <c r="Q70" s="8"/>
      <c r="R70" s="8"/>
      <c r="S70" s="8"/>
      <c r="T70" s="8"/>
      <c r="U70" s="8"/>
      <c r="V70"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6"/>
    <col collapsed="false" customWidth="true" hidden="false" outlineLevel="0" max="4" min="4" style="0" width="18"/>
    <col collapsed="false" customWidth="true" hidden="false" outlineLevel="0" max="5" min="5" style="0" width="10"/>
    <col collapsed="false" customWidth="true" hidden="false" outlineLevel="0" max="6" min="6" style="0" width="70"/>
  </cols>
  <sheetData>
    <row r="1" customFormat="false" ht="17.35" hidden="false" customHeight="false" outlineLevel="0" collapsed="false">
      <c r="A1" s="1" t="s">
        <v>96</v>
      </c>
      <c r="B1" s="8"/>
      <c r="C1" s="8"/>
      <c r="D1" s="8"/>
      <c r="E1" s="8"/>
      <c r="F1" s="8"/>
    </row>
    <row r="2" customFormat="false" ht="15" hidden="false" customHeight="false" outlineLevel="0" collapsed="false">
      <c r="A2" s="8"/>
      <c r="B2" s="8"/>
      <c r="C2" s="8"/>
      <c r="D2" s="8"/>
      <c r="E2" s="8"/>
      <c r="F2" s="8"/>
    </row>
    <row r="3" customFormat="false" ht="26.85" hidden="false" customHeight="false" outlineLevel="0" collapsed="false">
      <c r="A3" s="9" t="s">
        <v>97</v>
      </c>
      <c r="B3" s="9" t="s">
        <v>98</v>
      </c>
      <c r="C3" s="9" t="s">
        <v>99</v>
      </c>
      <c r="D3" s="9" t="s">
        <v>100</v>
      </c>
      <c r="E3" s="9" t="s">
        <v>19</v>
      </c>
      <c r="F3" s="9" t="s">
        <v>101</v>
      </c>
    </row>
    <row r="4" customFormat="false" ht="15" hidden="false" customHeight="false" outlineLevel="0" collapsed="false">
      <c r="A4" s="18" t="s">
        <v>102</v>
      </c>
      <c r="B4" s="19" t="n">
        <f aca="false">Intervals!R68</f>
        <v>161.999999998669</v>
      </c>
      <c r="C4" s="19" t="n">
        <f aca="false">Intervals!Q68</f>
        <v>162</v>
      </c>
      <c r="D4" s="20" t="n">
        <f aca="false">ROUND(B4-C4,6)</f>
        <v>-0</v>
      </c>
      <c r="E4" s="21" t="s">
        <v>103</v>
      </c>
      <c r="F4" s="21" t="s">
        <v>104</v>
      </c>
    </row>
    <row r="5" customFormat="false" ht="15" hidden="false" customHeight="false" outlineLevel="0" collapsed="false">
      <c r="A5" s="18" t="s">
        <v>105</v>
      </c>
      <c r="B5" s="20"/>
      <c r="C5" s="20"/>
      <c r="D5" s="20" t="n">
        <f aca="false">Intervals!V68</f>
        <v>143.349999996738</v>
      </c>
      <c r="E5" s="21" t="s">
        <v>103</v>
      </c>
      <c r="F5" s="21" t="s">
        <v>106</v>
      </c>
    </row>
    <row r="6" customFormat="false" ht="15" hidden="false" customHeight="false" outlineLevel="0" collapsed="false">
      <c r="A6" s="18" t="s">
        <v>107</v>
      </c>
      <c r="B6" s="20" t="n">
        <f aca="false">MAX(Intervals!U4:U67)</f>
        <v>54.2</v>
      </c>
      <c r="C6" s="20" t="n">
        <f aca="false">MAX(Intervals!T4:T67)</f>
        <v>28</v>
      </c>
      <c r="D6" s="20" t="n">
        <f aca="false">B6-C6</f>
        <v>26.2</v>
      </c>
      <c r="E6" s="21" t="s">
        <v>34</v>
      </c>
      <c r="F6" s="21" t="s">
        <v>108</v>
      </c>
    </row>
    <row r="7" customFormat="false" ht="15" hidden="false" customHeight="false" outlineLevel="0" collapsed="false">
      <c r="A7" s="18" t="s">
        <v>109</v>
      </c>
      <c r="B7" s="20" t="n">
        <f aca="false">SUMPRODUCT(Intervals!D4:D67,Intervals!R4:R67)</f>
        <v>51.4679999994196</v>
      </c>
      <c r="C7" s="20" t="n">
        <f aca="false">SUMPRODUCT(Intervals!D4:D67,Intervals!Q4:Q67)</f>
        <v>35.568</v>
      </c>
      <c r="D7" s="20" t="n">
        <f aca="false">B7-C7</f>
        <v>15.8999999994196</v>
      </c>
      <c r="E7" s="21" t="s">
        <v>110</v>
      </c>
      <c r="F7" s="21" t="s">
        <v>111</v>
      </c>
    </row>
    <row r="8" customFormat="false" ht="15" hidden="false" customHeight="false" outlineLevel="0" collapsed="false">
      <c r="A8" s="18" t="s">
        <v>112</v>
      </c>
      <c r="B8" s="20" t="n">
        <f aca="false">Inputs!$B$5*B6*Inputs!$B$6/12</f>
        <v>451.666666666667</v>
      </c>
      <c r="C8" s="20" t="n">
        <f aca="false">Inputs!$B$5*C6*Inputs!$B$6/12</f>
        <v>233.333333333333</v>
      </c>
      <c r="D8" s="20" t="n">
        <f aca="false">B8-C8</f>
        <v>218.333333333333</v>
      </c>
      <c r="E8" s="21" t="s">
        <v>110</v>
      </c>
      <c r="F8" s="21" t="s">
        <v>113</v>
      </c>
    </row>
    <row r="9" customFormat="false" ht="15" hidden="false" customHeight="false" outlineLevel="0" collapsed="false">
      <c r="A9" s="18" t="s">
        <v>114</v>
      </c>
      <c r="B9" s="20" t="n">
        <f aca="false">B7+B8</f>
        <v>503.134666666086</v>
      </c>
      <c r="C9" s="20" t="n">
        <f aca="false">C7+C8</f>
        <v>268.901333333333</v>
      </c>
      <c r="D9" s="20" t="n">
        <f aca="false">B9-C9</f>
        <v>234.233333332753</v>
      </c>
      <c r="E9" s="21" t="s">
        <v>110</v>
      </c>
      <c r="F9" s="21" t="s">
        <v>115</v>
      </c>
    </row>
    <row r="10" customFormat="false" ht="15" hidden="false" customHeight="false" outlineLevel="0" collapsed="false">
      <c r="A10" s="18" t="s">
        <v>116</v>
      </c>
      <c r="B10" s="20" t="n">
        <f aca="false">Inputs!$B$7*B4</f>
        <v>61.5599999994942</v>
      </c>
      <c r="C10" s="20" t="n">
        <f aca="false">Inputs!$B$7*C4</f>
        <v>61.56</v>
      </c>
      <c r="D10" s="20" t="n">
        <f aca="false">ROUND(B10-C10,6)</f>
        <v>-0</v>
      </c>
      <c r="E10" s="21" t="s">
        <v>117</v>
      </c>
      <c r="F10" s="21" t="s">
        <v>118</v>
      </c>
    </row>
    <row r="11" customFormat="false" ht="15" hidden="false" customHeight="false" outlineLevel="0" collapsed="false">
      <c r="A11" s="18" t="s">
        <v>119</v>
      </c>
      <c r="B11" s="20" t="n">
        <f aca="false">SUMPRODUCT(Intervals!E4:E67,Intervals!R4:R67)</f>
        <v>72.5744999992659</v>
      </c>
      <c r="C11" s="20" t="n">
        <f aca="false">SUMPRODUCT(Intervals!E4:E67,Intervals!Q4:Q67)</f>
        <v>56.982</v>
      </c>
      <c r="D11" s="20" t="n">
        <f aca="false">B11-C11</f>
        <v>15.5924999992659</v>
      </c>
      <c r="E11" s="21" t="s">
        <v>117</v>
      </c>
      <c r="F11" s="21" t="s">
        <v>120</v>
      </c>
    </row>
    <row r="12" customFormat="false" ht="15" hidden="false" customHeight="false" outlineLevel="0" collapsed="false">
      <c r="A12" s="8"/>
      <c r="B12" s="8"/>
      <c r="C12" s="8"/>
      <c r="D12" s="8"/>
      <c r="E12" s="8"/>
      <c r="F12" s="8"/>
    </row>
    <row r="13" customFormat="false" ht="15" hidden="false" customHeight="false" outlineLevel="0" collapsed="false">
      <c r="A13" s="4" t="s">
        <v>121</v>
      </c>
      <c r="B13" s="8" t="str">
        <f aca="false">IF(B6&gt;Inputs!$B$8,"Baseline exceeds limit","Within limit")</f>
        <v>Within limit</v>
      </c>
      <c r="C13" s="8" t="str">
        <f aca="false">IF(C6&gt;Inputs!$B$8,"Actual exceeds limit","Within limit")</f>
        <v>Within limit</v>
      </c>
      <c r="D13" s="8"/>
      <c r="E13" s="8"/>
      <c r="F13" s="8"/>
    </row>
    <row r="14" customFormat="false" ht="15" hidden="false" customHeight="false" outlineLevel="0" collapsed="false">
      <c r="A14" s="8"/>
      <c r="B14" s="8"/>
      <c r="C14" s="8"/>
      <c r="D14" s="8"/>
      <c r="E14" s="8"/>
      <c r="F14" s="8"/>
    </row>
    <row r="15" customFormat="false" ht="48" hidden="false" customHeight="true" outlineLevel="0" collapsed="false">
      <c r="A15" s="22" t="s">
        <v>122</v>
      </c>
      <c r="B15" s="22"/>
      <c r="C15" s="22"/>
      <c r="D15" s="22"/>
      <c r="E15" s="22"/>
      <c r="F15" s="22"/>
    </row>
  </sheetData>
  <mergeCells count="1">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4" min="3" style="0" width="18"/>
    <col collapsed="false" customWidth="true" hidden="false" outlineLevel="0" max="6" min="5" style="0" width="16"/>
    <col collapsed="false" customWidth="true" hidden="false" outlineLevel="0" max="7" min="7" style="0" width="20"/>
    <col collapsed="false" customWidth="true" hidden="false" outlineLevel="0" max="8" min="8" style="0" width="16"/>
  </cols>
  <sheetData>
    <row r="1" customFormat="false" ht="17.35" hidden="false" customHeight="false" outlineLevel="0" collapsed="false">
      <c r="A1" s="1" t="s">
        <v>123</v>
      </c>
      <c r="B1" s="8"/>
      <c r="C1" s="8"/>
      <c r="D1" s="8"/>
      <c r="E1" s="8"/>
      <c r="F1" s="8"/>
      <c r="G1" s="8"/>
      <c r="H1" s="8"/>
    </row>
    <row r="2" customFormat="false" ht="15" hidden="false" customHeight="false" outlineLevel="0" collapsed="false">
      <c r="A2" s="8"/>
      <c r="B2" s="8"/>
      <c r="C2" s="8"/>
      <c r="D2" s="8"/>
      <c r="E2" s="8"/>
      <c r="F2" s="8"/>
      <c r="G2" s="8"/>
      <c r="H2" s="8"/>
    </row>
    <row r="3" customFormat="false" ht="26.85" hidden="false" customHeight="false" outlineLevel="0" collapsed="false">
      <c r="A3" s="9" t="s">
        <v>40</v>
      </c>
      <c r="B3" s="9" t="s">
        <v>124</v>
      </c>
      <c r="C3" s="9" t="s">
        <v>125</v>
      </c>
      <c r="D3" s="9" t="s">
        <v>126</v>
      </c>
      <c r="E3" s="9" t="s">
        <v>127</v>
      </c>
      <c r="F3" s="9" t="s">
        <v>128</v>
      </c>
      <c r="G3" s="9" t="s">
        <v>55</v>
      </c>
      <c r="H3" s="9" t="s">
        <v>129</v>
      </c>
    </row>
    <row r="4" customFormat="false" ht="15" hidden="false" customHeight="false" outlineLevel="0" collapsed="false">
      <c r="A4" s="6" t="str">
        <f aca="false">Sessions!A4</f>
        <v>S1</v>
      </c>
      <c r="B4" s="14" t="n">
        <f aca="false">Sessions!E4</f>
        <v>40</v>
      </c>
      <c r="C4" s="14" t="n">
        <f aca="false">Intervals!G68</f>
        <v>40</v>
      </c>
      <c r="D4" s="14" t="n">
        <f aca="false">Intervals!L68</f>
        <v>39.9999999966814</v>
      </c>
      <c r="E4" s="8" t="str">
        <f aca="false">IF(ABS(C4-B4)&lt;0.001,"OK","Mismatch")</f>
        <v>OK</v>
      </c>
      <c r="F4" s="8" t="str">
        <f aca="false">IF(ABS(D4-B4)&lt;0.001,"OK","Mismatch")</f>
        <v>OK</v>
      </c>
      <c r="G4" s="6" t="str">
        <f aca="false">Sessions!P4</f>
        <v>OK</v>
      </c>
      <c r="H4" s="6" t="str">
        <f aca="false">Sessions!L4</f>
        <v>Yes</v>
      </c>
    </row>
    <row r="5" customFormat="false" ht="15" hidden="false" customHeight="false" outlineLevel="0" collapsed="false">
      <c r="A5" s="6" t="str">
        <f aca="false">Sessions!A5</f>
        <v>S2</v>
      </c>
      <c r="B5" s="14" t="n">
        <f aca="false">Sessions!E5</f>
        <v>35</v>
      </c>
      <c r="C5" s="14" t="n">
        <f aca="false">Intervals!H68</f>
        <v>35</v>
      </c>
      <c r="D5" s="14" t="n">
        <f aca="false">Intervals!M68</f>
        <v>35.0000000000567</v>
      </c>
      <c r="E5" s="8" t="str">
        <f aca="false">IF(ABS(C5-B5)&lt;0.001,"OK","Mismatch")</f>
        <v>OK</v>
      </c>
      <c r="F5" s="8" t="str">
        <f aca="false">IF(ABS(D5-B5)&lt;0.001,"OK","Mismatch")</f>
        <v>OK</v>
      </c>
      <c r="G5" s="6" t="str">
        <f aca="false">Sessions!P5</f>
        <v>OK</v>
      </c>
      <c r="H5" s="6" t="str">
        <f aca="false">Sessions!L5</f>
        <v>Yes</v>
      </c>
    </row>
    <row r="6" customFormat="false" ht="15" hidden="false" customHeight="false" outlineLevel="0" collapsed="false">
      <c r="A6" s="6" t="str">
        <f aca="false">Sessions!A6</f>
        <v>S3</v>
      </c>
      <c r="B6" s="14" t="n">
        <f aca="false">Sessions!E6</f>
        <v>30</v>
      </c>
      <c r="C6" s="14" t="n">
        <f aca="false">Intervals!I68</f>
        <v>30</v>
      </c>
      <c r="D6" s="14" t="n">
        <f aca="false">Intervals!N68</f>
        <v>30.000000001931</v>
      </c>
      <c r="E6" s="8" t="str">
        <f aca="false">IF(ABS(C6-B6)&lt;0.001,"OK","Mismatch")</f>
        <v>OK</v>
      </c>
      <c r="F6" s="8" t="str">
        <f aca="false">IF(ABS(D6-B6)&lt;0.001,"OK","Mismatch")</f>
        <v>OK</v>
      </c>
      <c r="G6" s="6" t="str">
        <f aca="false">Sessions!P6</f>
        <v>OK</v>
      </c>
      <c r="H6" s="6" t="str">
        <f aca="false">Sessions!L6</f>
        <v>Yes</v>
      </c>
    </row>
    <row r="7" customFormat="false" ht="15" hidden="false" customHeight="false" outlineLevel="0" collapsed="false">
      <c r="A7" s="6" t="str">
        <f aca="false">Sessions!A7</f>
        <v>S4</v>
      </c>
      <c r="B7" s="14" t="n">
        <f aca="false">Sessions!E7</f>
        <v>45</v>
      </c>
      <c r="C7" s="14" t="n">
        <f aca="false">Intervals!J68</f>
        <v>45</v>
      </c>
      <c r="D7" s="14" t="n">
        <f aca="false">Intervals!O68</f>
        <v>45</v>
      </c>
      <c r="E7" s="8" t="str">
        <f aca="false">IF(ABS(C7-B7)&lt;0.001,"OK","Mismatch")</f>
        <v>OK</v>
      </c>
      <c r="F7" s="8" t="str">
        <f aca="false">IF(ABS(D7-B7)&lt;0.001,"OK","Mismatch")</f>
        <v>OK</v>
      </c>
      <c r="G7" s="6" t="str">
        <f aca="false">Sessions!P7</f>
        <v>OK</v>
      </c>
      <c r="H7" s="6" t="str">
        <f aca="false">Sessions!L7</f>
        <v>Yes</v>
      </c>
    </row>
    <row r="8" customFormat="false" ht="15" hidden="false" customHeight="false" outlineLevel="0" collapsed="false">
      <c r="A8" s="6" t="str">
        <f aca="false">Sessions!A8</f>
        <v>S5</v>
      </c>
      <c r="B8" s="14" t="n">
        <f aca="false">Sessions!E8</f>
        <v>12</v>
      </c>
      <c r="C8" s="14" t="n">
        <f aca="false">Intervals!K68</f>
        <v>12</v>
      </c>
      <c r="D8" s="14" t="n">
        <f aca="false">Intervals!P68</f>
        <v>12</v>
      </c>
      <c r="E8" s="8" t="str">
        <f aca="false">IF(ABS(C8-B8)&lt;0.001,"OK","Mismatch")</f>
        <v>OK</v>
      </c>
      <c r="F8" s="8" t="str">
        <f aca="false">IF(ABS(D8-B8)&lt;0.001,"OK","Mismatch")</f>
        <v>OK</v>
      </c>
      <c r="G8" s="6" t="str">
        <f aca="false">Sessions!P8</f>
        <v>OK</v>
      </c>
      <c r="H8" s="6" t="str">
        <f aca="false">Sessions!L8</f>
        <v>No (rule 5)</v>
      </c>
    </row>
    <row r="9" customFormat="false" ht="15" hidden="false" customHeight="false" outlineLevel="0" collapsed="false">
      <c r="A9" s="8"/>
      <c r="B9" s="8"/>
      <c r="C9" s="8"/>
      <c r="D9" s="8"/>
      <c r="E9" s="8"/>
      <c r="F9" s="8"/>
      <c r="G9" s="8"/>
      <c r="H9" s="8"/>
    </row>
    <row r="10" customFormat="false" ht="15" hidden="false" customHeight="false" outlineLevel="0" collapsed="false">
      <c r="A10" s="4" t="s">
        <v>130</v>
      </c>
      <c r="B10" s="8"/>
      <c r="C10" s="8"/>
      <c r="D10" s="8"/>
      <c r="E10" s="8" t="str">
        <f aca="false">IF(SUMPRODUCT(--(Intervals!F4:F67&lt;Intervals!Q4:Q67-0.0001))=0,"OK","Flag")</f>
        <v>OK</v>
      </c>
      <c r="F10" s="8"/>
      <c r="G10" s="8"/>
      <c r="H10" s="8"/>
    </row>
    <row r="11" customFormat="false" ht="15" hidden="false" customHeight="false" outlineLevel="0" collapsed="false">
      <c r="A11" s="4" t="s">
        <v>131</v>
      </c>
      <c r="B11" s="8"/>
      <c r="C11" s="8"/>
      <c r="D11" s="8"/>
      <c r="E11" s="8" t="str">
        <f aca="false">IF(COUNT(Intervals!B4:B67)=64,"OK","Missing")</f>
        <v>OK</v>
      </c>
      <c r="F11" s="8"/>
      <c r="G11" s="8"/>
      <c r="H1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2026-10-14T23:44:03Z</dcterms:created>
  <dc:creator>openpyxl</dc:creator>
  <dc:description/>
  <dc:language>en-US</dc:language>
  <cp:lastModifiedBy/>
  <dcterms:modified xsi:type="dcterms:W3CDTF">2026-10-14T23:44:03Z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